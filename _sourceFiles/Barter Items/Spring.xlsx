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FestivalBuddyII\_sourceFiles\Barter Items\"/>
    </mc:Choice>
  </mc:AlternateContent>
  <xr:revisionPtr revIDLastSave="0" documentId="13_ncr:1_{F50FD6A5-C518-4708-B852-964D46A04B02}" xr6:coauthVersionLast="47" xr6:coauthVersionMax="47" xr10:uidLastSave="{00000000-0000-0000-0000-000000000000}"/>
  <bookViews>
    <workbookView xWindow="9390" yWindow="1365" windowWidth="19005" windowHeight="14430" xr2:uid="{83101F25-9AB0-48DD-9147-B2D704E7408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T3" i="1"/>
  <c r="S3" i="1" s="1"/>
  <c r="U3" i="1"/>
  <c r="V3" i="1"/>
  <c r="W3" i="1"/>
  <c r="X3" i="1"/>
  <c r="Y3" i="1"/>
  <c r="P4" i="1"/>
  <c r="Q4" i="1"/>
  <c r="R4" i="1"/>
  <c r="T4" i="1"/>
  <c r="S4" i="1" s="1"/>
  <c r="U4" i="1"/>
  <c r="V4" i="1"/>
  <c r="W4" i="1"/>
  <c r="X4" i="1"/>
  <c r="Y4" i="1"/>
  <c r="P5" i="1"/>
  <c r="Q5" i="1"/>
  <c r="R5" i="1"/>
  <c r="T5" i="1"/>
  <c r="S5" i="1" s="1"/>
  <c r="U5" i="1"/>
  <c r="V5" i="1"/>
  <c r="W5" i="1"/>
  <c r="X5" i="1"/>
  <c r="Y5" i="1"/>
  <c r="P6" i="1"/>
  <c r="Q6" i="1"/>
  <c r="R6" i="1"/>
  <c r="T6" i="1"/>
  <c r="S6" i="1" s="1"/>
  <c r="U6" i="1"/>
  <c r="V6" i="1"/>
  <c r="W6" i="1"/>
  <c r="X6" i="1"/>
  <c r="Y6" i="1"/>
  <c r="P7" i="1"/>
  <c r="Q7" i="1"/>
  <c r="R7" i="1"/>
  <c r="T7" i="1"/>
  <c r="S7" i="1" s="1"/>
  <c r="U7" i="1"/>
  <c r="V7" i="1"/>
  <c r="W7" i="1"/>
  <c r="X7" i="1"/>
  <c r="Y7" i="1"/>
  <c r="P8" i="1"/>
  <c r="Q8" i="1"/>
  <c r="R8" i="1"/>
  <c r="T8" i="1"/>
  <c r="S8" i="1" s="1"/>
  <c r="U8" i="1"/>
  <c r="V8" i="1"/>
  <c r="W8" i="1"/>
  <c r="X8" i="1"/>
  <c r="Y8" i="1"/>
  <c r="P9" i="1"/>
  <c r="Q9" i="1"/>
  <c r="R9" i="1"/>
  <c r="T9" i="1"/>
  <c r="S9" i="1" s="1"/>
  <c r="U9" i="1"/>
  <c r="V9" i="1"/>
  <c r="W9" i="1"/>
  <c r="X9" i="1"/>
  <c r="Y9" i="1"/>
  <c r="P10" i="1"/>
  <c r="Q10" i="1"/>
  <c r="R10" i="1"/>
  <c r="T10" i="1"/>
  <c r="S10" i="1" s="1"/>
  <c r="U10" i="1"/>
  <c r="V10" i="1"/>
  <c r="W10" i="1"/>
  <c r="X10" i="1"/>
  <c r="Y10" i="1"/>
  <c r="P11" i="1"/>
  <c r="Q11" i="1"/>
  <c r="R11" i="1"/>
  <c r="T11" i="1"/>
  <c r="S11" i="1" s="1"/>
  <c r="U11" i="1"/>
  <c r="V11" i="1"/>
  <c r="W11" i="1"/>
  <c r="X11" i="1"/>
  <c r="Y11" i="1"/>
  <c r="P12" i="1"/>
  <c r="Q12" i="1"/>
  <c r="R12" i="1"/>
  <c r="T12" i="1"/>
  <c r="S12" i="1" s="1"/>
  <c r="U12" i="1"/>
  <c r="V12" i="1"/>
  <c r="W12" i="1"/>
  <c r="X12" i="1"/>
  <c r="Y12" i="1"/>
  <c r="P13" i="1"/>
  <c r="Q13" i="1"/>
  <c r="R13" i="1"/>
  <c r="T13" i="1"/>
  <c r="S13" i="1" s="1"/>
  <c r="U13" i="1"/>
  <c r="V13" i="1"/>
  <c r="W13" i="1"/>
  <c r="X13" i="1"/>
  <c r="Y13" i="1"/>
  <c r="P14" i="1"/>
  <c r="Q14" i="1"/>
  <c r="R14" i="1"/>
  <c r="T14" i="1"/>
  <c r="S14" i="1" s="1"/>
  <c r="U14" i="1"/>
  <c r="V14" i="1"/>
  <c r="W14" i="1"/>
  <c r="X14" i="1"/>
  <c r="Y14" i="1"/>
  <c r="P15" i="1"/>
  <c r="Q15" i="1"/>
  <c r="R15" i="1"/>
  <c r="T15" i="1"/>
  <c r="S15" i="1" s="1"/>
  <c r="U15" i="1"/>
  <c r="V15" i="1"/>
  <c r="W15" i="1"/>
  <c r="X15" i="1"/>
  <c r="Y15" i="1"/>
  <c r="P16" i="1"/>
  <c r="Q16" i="1"/>
  <c r="R16" i="1"/>
  <c r="T16" i="1"/>
  <c r="S16" i="1" s="1"/>
  <c r="U16" i="1"/>
  <c r="V16" i="1"/>
  <c r="W16" i="1"/>
  <c r="X16" i="1"/>
  <c r="Y16" i="1"/>
  <c r="P17" i="1"/>
  <c r="Q17" i="1"/>
  <c r="R17" i="1"/>
  <c r="M17" i="1" s="1"/>
  <c r="T17" i="1"/>
  <c r="S17" i="1" s="1"/>
  <c r="U17" i="1"/>
  <c r="V17" i="1"/>
  <c r="W17" i="1"/>
  <c r="X17" i="1"/>
  <c r="Y17" i="1"/>
  <c r="P18" i="1"/>
  <c r="Q18" i="1"/>
  <c r="R18" i="1"/>
  <c r="T18" i="1"/>
  <c r="S18" i="1" s="1"/>
  <c r="U18" i="1"/>
  <c r="V18" i="1"/>
  <c r="W18" i="1"/>
  <c r="X18" i="1"/>
  <c r="Y18" i="1"/>
  <c r="P19" i="1"/>
  <c r="Q19" i="1"/>
  <c r="R19" i="1"/>
  <c r="T19" i="1"/>
  <c r="S19" i="1" s="1"/>
  <c r="U19" i="1"/>
  <c r="V19" i="1"/>
  <c r="W19" i="1"/>
  <c r="X19" i="1"/>
  <c r="Y19" i="1"/>
  <c r="P20" i="1"/>
  <c r="Q20" i="1"/>
  <c r="R20" i="1"/>
  <c r="T20" i="1"/>
  <c r="S20" i="1" s="1"/>
  <c r="U20" i="1"/>
  <c r="V20" i="1"/>
  <c r="W20" i="1"/>
  <c r="X20" i="1"/>
  <c r="Y20" i="1"/>
  <c r="P21" i="1"/>
  <c r="Q21" i="1"/>
  <c r="R21" i="1"/>
  <c r="T21" i="1"/>
  <c r="S21" i="1" s="1"/>
  <c r="U21" i="1"/>
  <c r="V21" i="1"/>
  <c r="W21" i="1"/>
  <c r="X21" i="1"/>
  <c r="Y21" i="1"/>
  <c r="P22" i="1"/>
  <c r="Q22" i="1"/>
  <c r="R22" i="1"/>
  <c r="T22" i="1"/>
  <c r="S22" i="1" s="1"/>
  <c r="U22" i="1"/>
  <c r="V22" i="1"/>
  <c r="W22" i="1"/>
  <c r="X22" i="1"/>
  <c r="Y22" i="1"/>
  <c r="P23" i="1"/>
  <c r="Q23" i="1"/>
  <c r="R23" i="1"/>
  <c r="T23" i="1"/>
  <c r="S23" i="1" s="1"/>
  <c r="M23" i="1" s="1"/>
  <c r="U23" i="1"/>
  <c r="V23" i="1"/>
  <c r="W23" i="1"/>
  <c r="X23" i="1"/>
  <c r="Y23" i="1"/>
  <c r="P24" i="1"/>
  <c r="Q24" i="1"/>
  <c r="R24" i="1"/>
  <c r="T24" i="1"/>
  <c r="S24" i="1" s="1"/>
  <c r="U24" i="1"/>
  <c r="V24" i="1"/>
  <c r="W24" i="1"/>
  <c r="X24" i="1"/>
  <c r="Y24" i="1"/>
  <c r="P25" i="1"/>
  <c r="Q25" i="1"/>
  <c r="R25" i="1"/>
  <c r="T25" i="1"/>
  <c r="S25" i="1" s="1"/>
  <c r="U25" i="1"/>
  <c r="V25" i="1"/>
  <c r="W25" i="1"/>
  <c r="X25" i="1"/>
  <c r="Y25" i="1"/>
  <c r="P26" i="1"/>
  <c r="Q26" i="1"/>
  <c r="R26" i="1"/>
  <c r="T26" i="1"/>
  <c r="S26" i="1" s="1"/>
  <c r="U26" i="1"/>
  <c r="V26" i="1"/>
  <c r="W26" i="1"/>
  <c r="X26" i="1"/>
  <c r="Y26" i="1"/>
  <c r="P27" i="1"/>
  <c r="Q27" i="1"/>
  <c r="R27" i="1"/>
  <c r="T27" i="1"/>
  <c r="S27" i="1" s="1"/>
  <c r="U27" i="1"/>
  <c r="V27" i="1"/>
  <c r="W27" i="1"/>
  <c r="X27" i="1"/>
  <c r="Y27" i="1"/>
  <c r="P28" i="1"/>
  <c r="Q28" i="1"/>
  <c r="R28" i="1"/>
  <c r="T28" i="1"/>
  <c r="S28" i="1" s="1"/>
  <c r="U28" i="1"/>
  <c r="V28" i="1"/>
  <c r="W28" i="1"/>
  <c r="X28" i="1"/>
  <c r="Y28" i="1"/>
  <c r="P29" i="1"/>
  <c r="Q29" i="1"/>
  <c r="R29" i="1"/>
  <c r="T29" i="1"/>
  <c r="S29" i="1" s="1"/>
  <c r="U29" i="1"/>
  <c r="V29" i="1"/>
  <c r="W29" i="1"/>
  <c r="X29" i="1"/>
  <c r="Y29" i="1"/>
  <c r="P30" i="1"/>
  <c r="Q30" i="1"/>
  <c r="R30" i="1"/>
  <c r="T30" i="1"/>
  <c r="S30" i="1" s="1"/>
  <c r="U30" i="1"/>
  <c r="V30" i="1"/>
  <c r="W30" i="1"/>
  <c r="X30" i="1"/>
  <c r="Y30" i="1"/>
  <c r="P31" i="1"/>
  <c r="Q31" i="1"/>
  <c r="R31" i="1"/>
  <c r="T31" i="1"/>
  <c r="S31" i="1" s="1"/>
  <c r="U31" i="1"/>
  <c r="V31" i="1"/>
  <c r="W31" i="1"/>
  <c r="X31" i="1"/>
  <c r="Y31" i="1"/>
  <c r="P32" i="1"/>
  <c r="Q32" i="1"/>
  <c r="R32" i="1"/>
  <c r="T32" i="1"/>
  <c r="S32" i="1" s="1"/>
  <c r="U32" i="1"/>
  <c r="V32" i="1"/>
  <c r="W32" i="1"/>
  <c r="X32" i="1"/>
  <c r="Y32" i="1"/>
  <c r="P33" i="1"/>
  <c r="Q33" i="1"/>
  <c r="R33" i="1"/>
  <c r="T33" i="1"/>
  <c r="S33" i="1" s="1"/>
  <c r="U33" i="1"/>
  <c r="V33" i="1"/>
  <c r="W33" i="1"/>
  <c r="X33" i="1"/>
  <c r="Y33" i="1"/>
  <c r="P34" i="1"/>
  <c r="Q34" i="1"/>
  <c r="R34" i="1"/>
  <c r="T34" i="1"/>
  <c r="S34" i="1" s="1"/>
  <c r="U34" i="1"/>
  <c r="V34" i="1"/>
  <c r="W34" i="1"/>
  <c r="X34" i="1"/>
  <c r="Y34" i="1"/>
  <c r="P35" i="1"/>
  <c r="Q35" i="1"/>
  <c r="R35" i="1"/>
  <c r="T35" i="1"/>
  <c r="S35" i="1" s="1"/>
  <c r="U35" i="1"/>
  <c r="V35" i="1"/>
  <c r="W35" i="1"/>
  <c r="X35" i="1"/>
  <c r="Y35" i="1"/>
  <c r="P36" i="1"/>
  <c r="Q36" i="1"/>
  <c r="R36" i="1"/>
  <c r="T36" i="1"/>
  <c r="S36" i="1" s="1"/>
  <c r="U36" i="1"/>
  <c r="V36" i="1"/>
  <c r="W36" i="1"/>
  <c r="X36" i="1"/>
  <c r="Y36" i="1"/>
  <c r="P37" i="1"/>
  <c r="Q37" i="1"/>
  <c r="R37" i="1"/>
  <c r="T37" i="1"/>
  <c r="S37" i="1" s="1"/>
  <c r="U37" i="1"/>
  <c r="V37" i="1"/>
  <c r="W37" i="1"/>
  <c r="X37" i="1"/>
  <c r="Y37" i="1"/>
  <c r="P38" i="1"/>
  <c r="Q38" i="1"/>
  <c r="R38" i="1"/>
  <c r="T38" i="1"/>
  <c r="S38" i="1" s="1"/>
  <c r="U38" i="1"/>
  <c r="V38" i="1"/>
  <c r="W38" i="1"/>
  <c r="X38" i="1"/>
  <c r="Y38" i="1"/>
  <c r="P39" i="1"/>
  <c r="Q39" i="1"/>
  <c r="R39" i="1"/>
  <c r="T39" i="1"/>
  <c r="S39" i="1" s="1"/>
  <c r="U39" i="1"/>
  <c r="V39" i="1"/>
  <c r="W39" i="1"/>
  <c r="X39" i="1"/>
  <c r="Y39" i="1"/>
  <c r="P40" i="1"/>
  <c r="Q40" i="1"/>
  <c r="R40" i="1"/>
  <c r="T40" i="1"/>
  <c r="S40" i="1" s="1"/>
  <c r="U40" i="1"/>
  <c r="V40" i="1"/>
  <c r="W40" i="1"/>
  <c r="X40" i="1"/>
  <c r="Y40" i="1"/>
  <c r="P41" i="1"/>
  <c r="Q41" i="1"/>
  <c r="R41" i="1"/>
  <c r="T41" i="1"/>
  <c r="S41" i="1" s="1"/>
  <c r="U41" i="1"/>
  <c r="V41" i="1"/>
  <c r="W41" i="1"/>
  <c r="X41" i="1"/>
  <c r="Y41" i="1"/>
  <c r="P42" i="1"/>
  <c r="Q42" i="1"/>
  <c r="R42" i="1"/>
  <c r="T42" i="1"/>
  <c r="S42" i="1" s="1"/>
  <c r="U42" i="1"/>
  <c r="V42" i="1"/>
  <c r="W42" i="1"/>
  <c r="X42" i="1"/>
  <c r="Y42" i="1"/>
  <c r="P43" i="1"/>
  <c r="Q43" i="1"/>
  <c r="R43" i="1"/>
  <c r="T43" i="1"/>
  <c r="S43" i="1" s="1"/>
  <c r="U43" i="1"/>
  <c r="V43" i="1"/>
  <c r="W43" i="1"/>
  <c r="X43" i="1"/>
  <c r="Y43" i="1"/>
  <c r="P44" i="1"/>
  <c r="Q44" i="1"/>
  <c r="R44" i="1"/>
  <c r="T44" i="1"/>
  <c r="S44" i="1" s="1"/>
  <c r="U44" i="1"/>
  <c r="V44" i="1"/>
  <c r="W44" i="1"/>
  <c r="X44" i="1"/>
  <c r="Y44" i="1"/>
  <c r="P45" i="1"/>
  <c r="Q45" i="1"/>
  <c r="R45" i="1"/>
  <c r="T45" i="1"/>
  <c r="S45" i="1" s="1"/>
  <c r="U45" i="1"/>
  <c r="V45" i="1"/>
  <c r="W45" i="1"/>
  <c r="X45" i="1"/>
  <c r="Y45" i="1"/>
  <c r="P46" i="1"/>
  <c r="Q46" i="1"/>
  <c r="R46" i="1"/>
  <c r="T46" i="1"/>
  <c r="S46" i="1" s="1"/>
  <c r="U46" i="1"/>
  <c r="V46" i="1"/>
  <c r="W46" i="1"/>
  <c r="X46" i="1"/>
  <c r="Y46" i="1"/>
  <c r="P47" i="1"/>
  <c r="Q47" i="1"/>
  <c r="R47" i="1"/>
  <c r="T47" i="1"/>
  <c r="S47" i="1" s="1"/>
  <c r="U47" i="1"/>
  <c r="V47" i="1"/>
  <c r="W47" i="1"/>
  <c r="X47" i="1"/>
  <c r="Y47" i="1"/>
  <c r="P48" i="1"/>
  <c r="Q48" i="1"/>
  <c r="R48" i="1"/>
  <c r="T48" i="1"/>
  <c r="S48" i="1" s="1"/>
  <c r="U48" i="1"/>
  <c r="V48" i="1"/>
  <c r="W48" i="1"/>
  <c r="X48" i="1"/>
  <c r="Y48" i="1"/>
  <c r="P49" i="1"/>
  <c r="Q49" i="1"/>
  <c r="R49" i="1"/>
  <c r="T49" i="1"/>
  <c r="S49" i="1" s="1"/>
  <c r="U49" i="1"/>
  <c r="V49" i="1"/>
  <c r="W49" i="1"/>
  <c r="X49" i="1"/>
  <c r="Y49" i="1"/>
  <c r="P50" i="1"/>
  <c r="Q50" i="1"/>
  <c r="R50" i="1"/>
  <c r="T50" i="1"/>
  <c r="S50" i="1" s="1"/>
  <c r="U50" i="1"/>
  <c r="V50" i="1"/>
  <c r="W50" i="1"/>
  <c r="X50" i="1"/>
  <c r="Y50" i="1"/>
  <c r="P51" i="1"/>
  <c r="Q51" i="1"/>
  <c r="R51" i="1"/>
  <c r="T51" i="1"/>
  <c r="S51" i="1" s="1"/>
  <c r="U51" i="1"/>
  <c r="V51" i="1"/>
  <c r="W51" i="1"/>
  <c r="X51" i="1"/>
  <c r="Y51" i="1"/>
  <c r="P52" i="1"/>
  <c r="Q52" i="1"/>
  <c r="R52" i="1"/>
  <c r="T52" i="1"/>
  <c r="S52" i="1" s="1"/>
  <c r="U52" i="1"/>
  <c r="V52" i="1"/>
  <c r="W52" i="1"/>
  <c r="X52" i="1"/>
  <c r="Y52" i="1"/>
  <c r="P53" i="1"/>
  <c r="Q53" i="1"/>
  <c r="R53" i="1"/>
  <c r="T53" i="1"/>
  <c r="S53" i="1" s="1"/>
  <c r="U53" i="1"/>
  <c r="V53" i="1"/>
  <c r="W53" i="1"/>
  <c r="X53" i="1"/>
  <c r="Y53" i="1"/>
  <c r="P54" i="1"/>
  <c r="Q54" i="1"/>
  <c r="R54" i="1"/>
  <c r="T54" i="1"/>
  <c r="S54" i="1" s="1"/>
  <c r="U54" i="1"/>
  <c r="V54" i="1"/>
  <c r="W54" i="1"/>
  <c r="X54" i="1"/>
  <c r="Y54" i="1"/>
  <c r="P55" i="1"/>
  <c r="Q55" i="1"/>
  <c r="R55" i="1"/>
  <c r="T55" i="1"/>
  <c r="S55" i="1" s="1"/>
  <c r="U55" i="1"/>
  <c r="V55" i="1"/>
  <c r="W55" i="1"/>
  <c r="X55" i="1"/>
  <c r="Y55" i="1"/>
  <c r="P56" i="1"/>
  <c r="Q56" i="1"/>
  <c r="R56" i="1"/>
  <c r="T56" i="1"/>
  <c r="S56" i="1" s="1"/>
  <c r="U56" i="1"/>
  <c r="V56" i="1"/>
  <c r="W56" i="1"/>
  <c r="X56" i="1"/>
  <c r="Y56" i="1"/>
  <c r="P57" i="1"/>
  <c r="Q57" i="1"/>
  <c r="R57" i="1"/>
  <c r="T57" i="1"/>
  <c r="S57" i="1" s="1"/>
  <c r="U57" i="1"/>
  <c r="V57" i="1"/>
  <c r="W57" i="1"/>
  <c r="X57" i="1"/>
  <c r="Y57" i="1"/>
  <c r="P58" i="1"/>
  <c r="Q58" i="1"/>
  <c r="R58" i="1"/>
  <c r="T58" i="1"/>
  <c r="S58" i="1" s="1"/>
  <c r="U58" i="1"/>
  <c r="V58" i="1"/>
  <c r="W58" i="1"/>
  <c r="X58" i="1"/>
  <c r="Y58" i="1"/>
  <c r="P59" i="1"/>
  <c r="Q59" i="1"/>
  <c r="R59" i="1"/>
  <c r="T59" i="1"/>
  <c r="S59" i="1" s="1"/>
  <c r="U59" i="1"/>
  <c r="V59" i="1"/>
  <c r="W59" i="1"/>
  <c r="X59" i="1"/>
  <c r="Y59" i="1"/>
  <c r="P60" i="1"/>
  <c r="Q60" i="1"/>
  <c r="R60" i="1"/>
  <c r="T60" i="1"/>
  <c r="S60" i="1" s="1"/>
  <c r="U60" i="1"/>
  <c r="V60" i="1"/>
  <c r="W60" i="1"/>
  <c r="X60" i="1"/>
  <c r="Y60" i="1"/>
  <c r="P61" i="1"/>
  <c r="Q61" i="1"/>
  <c r="R61" i="1"/>
  <c r="T61" i="1"/>
  <c r="S61" i="1" s="1"/>
  <c r="U61" i="1"/>
  <c r="V61" i="1"/>
  <c r="W61" i="1"/>
  <c r="X61" i="1"/>
  <c r="Y61" i="1"/>
  <c r="P62" i="1"/>
  <c r="Q62" i="1"/>
  <c r="R62" i="1"/>
  <c r="T62" i="1"/>
  <c r="S62" i="1" s="1"/>
  <c r="U62" i="1"/>
  <c r="V62" i="1"/>
  <c r="W62" i="1"/>
  <c r="X62" i="1"/>
  <c r="Y62" i="1"/>
  <c r="P63" i="1"/>
  <c r="Q63" i="1"/>
  <c r="R63" i="1"/>
  <c r="T63" i="1"/>
  <c r="S63" i="1" s="1"/>
  <c r="U63" i="1"/>
  <c r="V63" i="1"/>
  <c r="W63" i="1"/>
  <c r="X63" i="1"/>
  <c r="Y63" i="1"/>
  <c r="P64" i="1"/>
  <c r="Q64" i="1"/>
  <c r="R64" i="1"/>
  <c r="T64" i="1"/>
  <c r="S64" i="1" s="1"/>
  <c r="U64" i="1"/>
  <c r="V64" i="1"/>
  <c r="W64" i="1"/>
  <c r="X64" i="1"/>
  <c r="Y64" i="1"/>
  <c r="P65" i="1"/>
  <c r="Q65" i="1"/>
  <c r="R65" i="1"/>
  <c r="T65" i="1"/>
  <c r="S65" i="1" s="1"/>
  <c r="U65" i="1"/>
  <c r="V65" i="1"/>
  <c r="W65" i="1"/>
  <c r="X65" i="1"/>
  <c r="Y65" i="1"/>
  <c r="P66" i="1"/>
  <c r="Q66" i="1"/>
  <c r="R66" i="1"/>
  <c r="T66" i="1"/>
  <c r="S66" i="1" s="1"/>
  <c r="U66" i="1"/>
  <c r="V66" i="1"/>
  <c r="W66" i="1"/>
  <c r="X66" i="1"/>
  <c r="Y66" i="1"/>
  <c r="P67" i="1"/>
  <c r="Q67" i="1"/>
  <c r="R67" i="1"/>
  <c r="T67" i="1"/>
  <c r="S67" i="1" s="1"/>
  <c r="U67" i="1"/>
  <c r="V67" i="1"/>
  <c r="W67" i="1"/>
  <c r="X67" i="1"/>
  <c r="Y67" i="1"/>
  <c r="P68" i="1"/>
  <c r="Q68" i="1"/>
  <c r="R68" i="1"/>
  <c r="T68" i="1"/>
  <c r="S68" i="1" s="1"/>
  <c r="U68" i="1"/>
  <c r="V68" i="1"/>
  <c r="W68" i="1"/>
  <c r="X68" i="1"/>
  <c r="Y68" i="1"/>
  <c r="P69" i="1"/>
  <c r="Q69" i="1"/>
  <c r="R69" i="1"/>
  <c r="T69" i="1"/>
  <c r="S69" i="1" s="1"/>
  <c r="M69" i="1" s="1"/>
  <c r="U69" i="1"/>
  <c r="V69" i="1"/>
  <c r="W69" i="1"/>
  <c r="X69" i="1"/>
  <c r="Y69" i="1"/>
  <c r="P70" i="1"/>
  <c r="Q70" i="1"/>
  <c r="R70" i="1"/>
  <c r="T70" i="1"/>
  <c r="S70" i="1" s="1"/>
  <c r="U70" i="1"/>
  <c r="V70" i="1"/>
  <c r="W70" i="1"/>
  <c r="X70" i="1"/>
  <c r="Y70" i="1"/>
  <c r="P71" i="1"/>
  <c r="Q71" i="1"/>
  <c r="R71" i="1"/>
  <c r="T71" i="1"/>
  <c r="S71" i="1" s="1"/>
  <c r="U71" i="1"/>
  <c r="V71" i="1"/>
  <c r="W71" i="1"/>
  <c r="X71" i="1"/>
  <c r="Y71" i="1"/>
  <c r="P72" i="1"/>
  <c r="Q72" i="1"/>
  <c r="R72" i="1"/>
  <c r="T72" i="1"/>
  <c r="S72" i="1" s="1"/>
  <c r="U72" i="1"/>
  <c r="V72" i="1"/>
  <c r="W72" i="1"/>
  <c r="X72" i="1"/>
  <c r="Y72" i="1"/>
  <c r="P73" i="1"/>
  <c r="Q73" i="1"/>
  <c r="R73" i="1"/>
  <c r="T73" i="1"/>
  <c r="S73" i="1" s="1"/>
  <c r="U73" i="1"/>
  <c r="V73" i="1"/>
  <c r="W73" i="1"/>
  <c r="X73" i="1"/>
  <c r="Y73" i="1"/>
  <c r="P74" i="1"/>
  <c r="Q74" i="1"/>
  <c r="R74" i="1"/>
  <c r="T74" i="1"/>
  <c r="S74" i="1" s="1"/>
  <c r="U74" i="1"/>
  <c r="V74" i="1"/>
  <c r="W74" i="1"/>
  <c r="X74" i="1"/>
  <c r="Y74" i="1"/>
  <c r="P75" i="1"/>
  <c r="Q75" i="1"/>
  <c r="R75" i="1"/>
  <c r="T75" i="1"/>
  <c r="S75" i="1" s="1"/>
  <c r="U75" i="1"/>
  <c r="V75" i="1"/>
  <c r="W75" i="1"/>
  <c r="X75" i="1"/>
  <c r="Y75" i="1"/>
  <c r="P76" i="1"/>
  <c r="Q76" i="1"/>
  <c r="R76" i="1"/>
  <c r="T76" i="1"/>
  <c r="S76" i="1" s="1"/>
  <c r="U76" i="1"/>
  <c r="V76" i="1"/>
  <c r="W76" i="1"/>
  <c r="X76" i="1"/>
  <c r="Y76" i="1"/>
  <c r="P77" i="1"/>
  <c r="Q77" i="1"/>
  <c r="R77" i="1"/>
  <c r="T77" i="1"/>
  <c r="S77" i="1" s="1"/>
  <c r="U77" i="1"/>
  <c r="V77" i="1"/>
  <c r="W77" i="1"/>
  <c r="X77" i="1"/>
  <c r="Y77" i="1"/>
  <c r="P78" i="1"/>
  <c r="Q78" i="1"/>
  <c r="R78" i="1"/>
  <c r="T78" i="1"/>
  <c r="S78" i="1" s="1"/>
  <c r="U78" i="1"/>
  <c r="V78" i="1"/>
  <c r="W78" i="1"/>
  <c r="X78" i="1"/>
  <c r="Y78" i="1"/>
  <c r="P79" i="1"/>
  <c r="Q79" i="1"/>
  <c r="R79" i="1"/>
  <c r="T79" i="1"/>
  <c r="S79" i="1" s="1"/>
  <c r="U79" i="1"/>
  <c r="V79" i="1"/>
  <c r="W79" i="1"/>
  <c r="X79" i="1"/>
  <c r="Y79" i="1"/>
  <c r="P80" i="1"/>
  <c r="Q80" i="1"/>
  <c r="R80" i="1"/>
  <c r="T80" i="1"/>
  <c r="S80" i="1" s="1"/>
  <c r="U80" i="1"/>
  <c r="V80" i="1"/>
  <c r="W80" i="1"/>
  <c r="X80" i="1"/>
  <c r="Y80" i="1"/>
  <c r="P81" i="1"/>
  <c r="Q81" i="1"/>
  <c r="R81" i="1"/>
  <c r="T81" i="1"/>
  <c r="S81" i="1" s="1"/>
  <c r="U81" i="1"/>
  <c r="V81" i="1"/>
  <c r="W81" i="1"/>
  <c r="X81" i="1"/>
  <c r="Y81" i="1"/>
  <c r="P82" i="1"/>
  <c r="Q82" i="1"/>
  <c r="R82" i="1"/>
  <c r="T82" i="1"/>
  <c r="S82" i="1" s="1"/>
  <c r="U82" i="1"/>
  <c r="V82" i="1"/>
  <c r="W82" i="1"/>
  <c r="X82" i="1"/>
  <c r="Y82" i="1"/>
  <c r="P83" i="1"/>
  <c r="Q83" i="1"/>
  <c r="R83" i="1"/>
  <c r="T83" i="1"/>
  <c r="S83" i="1" s="1"/>
  <c r="U83" i="1"/>
  <c r="V83" i="1"/>
  <c r="W83" i="1"/>
  <c r="X83" i="1"/>
  <c r="Y83" i="1"/>
  <c r="N84" i="1"/>
  <c r="O84" i="1"/>
  <c r="P84" i="1"/>
  <c r="Q84" i="1"/>
  <c r="R84" i="1"/>
  <c r="T84" i="1"/>
  <c r="S84" i="1" s="1"/>
  <c r="M84" i="1" s="1"/>
  <c r="U84" i="1"/>
  <c r="V84" i="1"/>
  <c r="W84" i="1"/>
  <c r="X84" i="1"/>
  <c r="Y84" i="1"/>
  <c r="P85" i="1"/>
  <c r="Q85" i="1"/>
  <c r="R85" i="1"/>
  <c r="T85" i="1"/>
  <c r="S85" i="1" s="1"/>
  <c r="U85" i="1"/>
  <c r="V85" i="1"/>
  <c r="W85" i="1"/>
  <c r="X85" i="1"/>
  <c r="Y85" i="1"/>
  <c r="P86" i="1"/>
  <c r="Q86" i="1"/>
  <c r="R86" i="1"/>
  <c r="T86" i="1"/>
  <c r="S86" i="1" s="1"/>
  <c r="U86" i="1"/>
  <c r="V86" i="1"/>
  <c r="W86" i="1"/>
  <c r="X86" i="1"/>
  <c r="Y86" i="1"/>
  <c r="P87" i="1"/>
  <c r="Q87" i="1"/>
  <c r="R87" i="1"/>
  <c r="T87" i="1"/>
  <c r="S87" i="1" s="1"/>
  <c r="U87" i="1"/>
  <c r="V87" i="1"/>
  <c r="W87" i="1"/>
  <c r="X87" i="1"/>
  <c r="Y87" i="1"/>
  <c r="P88" i="1"/>
  <c r="Q88" i="1"/>
  <c r="R88" i="1"/>
  <c r="T88" i="1"/>
  <c r="S88" i="1" s="1"/>
  <c r="U88" i="1"/>
  <c r="V88" i="1"/>
  <c r="W88" i="1"/>
  <c r="X88" i="1"/>
  <c r="Y88" i="1"/>
  <c r="P89" i="1"/>
  <c r="Q89" i="1"/>
  <c r="R89" i="1"/>
  <c r="T89" i="1"/>
  <c r="S89" i="1" s="1"/>
  <c r="U89" i="1"/>
  <c r="V89" i="1"/>
  <c r="W89" i="1"/>
  <c r="X89" i="1"/>
  <c r="Y89" i="1"/>
  <c r="P90" i="1"/>
  <c r="Q90" i="1"/>
  <c r="R90" i="1"/>
  <c r="T90" i="1"/>
  <c r="S90" i="1" s="1"/>
  <c r="U90" i="1"/>
  <c r="V90" i="1"/>
  <c r="W90" i="1"/>
  <c r="X90" i="1"/>
  <c r="Y90" i="1"/>
  <c r="P91" i="1"/>
  <c r="Q91" i="1"/>
  <c r="R91" i="1"/>
  <c r="M91" i="1" s="1"/>
  <c r="S91" i="1"/>
  <c r="T91" i="1"/>
  <c r="U91" i="1"/>
  <c r="V91" i="1"/>
  <c r="W91" i="1"/>
  <c r="X91" i="1"/>
  <c r="Y91" i="1"/>
  <c r="P92" i="1"/>
  <c r="Q92" i="1"/>
  <c r="R92" i="1"/>
  <c r="T92" i="1"/>
  <c r="S92" i="1" s="1"/>
  <c r="U92" i="1"/>
  <c r="V92" i="1"/>
  <c r="W92" i="1"/>
  <c r="X92" i="1"/>
  <c r="Y92" i="1"/>
  <c r="P93" i="1"/>
  <c r="Q93" i="1"/>
  <c r="R93" i="1"/>
  <c r="T93" i="1"/>
  <c r="S93" i="1" s="1"/>
  <c r="U93" i="1"/>
  <c r="V93" i="1"/>
  <c r="W93" i="1"/>
  <c r="X93" i="1"/>
  <c r="Y93" i="1"/>
  <c r="P94" i="1"/>
  <c r="Q94" i="1"/>
  <c r="R94" i="1"/>
  <c r="T94" i="1"/>
  <c r="S94" i="1" s="1"/>
  <c r="U94" i="1"/>
  <c r="V94" i="1"/>
  <c r="W94" i="1"/>
  <c r="X94" i="1"/>
  <c r="Y94" i="1"/>
  <c r="O95" i="1"/>
  <c r="P95" i="1"/>
  <c r="N95" i="1" s="1"/>
  <c r="Q95" i="1"/>
  <c r="R95" i="1"/>
  <c r="T95" i="1"/>
  <c r="S95" i="1" s="1"/>
  <c r="U95" i="1"/>
  <c r="V95" i="1"/>
  <c r="W95" i="1"/>
  <c r="X95" i="1"/>
  <c r="Y95" i="1"/>
  <c r="P96" i="1"/>
  <c r="Q96" i="1"/>
  <c r="R96" i="1"/>
  <c r="T96" i="1"/>
  <c r="S96" i="1" s="1"/>
  <c r="M96" i="1" s="1"/>
  <c r="U96" i="1"/>
  <c r="V96" i="1"/>
  <c r="W96" i="1"/>
  <c r="X96" i="1"/>
  <c r="Y96" i="1"/>
  <c r="P97" i="1"/>
  <c r="Q97" i="1"/>
  <c r="R97" i="1"/>
  <c r="T97" i="1"/>
  <c r="S97" i="1" s="1"/>
  <c r="U97" i="1"/>
  <c r="V97" i="1"/>
  <c r="W97" i="1"/>
  <c r="X97" i="1"/>
  <c r="Y97" i="1"/>
  <c r="P98" i="1"/>
  <c r="Q98" i="1"/>
  <c r="R98" i="1"/>
  <c r="T98" i="1"/>
  <c r="S98" i="1" s="1"/>
  <c r="U98" i="1"/>
  <c r="V98" i="1"/>
  <c r="W98" i="1"/>
  <c r="X98" i="1"/>
  <c r="Y98" i="1"/>
  <c r="P99" i="1"/>
  <c r="Q99" i="1"/>
  <c r="R99" i="1"/>
  <c r="T99" i="1"/>
  <c r="S99" i="1" s="1"/>
  <c r="U99" i="1"/>
  <c r="V99" i="1"/>
  <c r="W99" i="1"/>
  <c r="X99" i="1"/>
  <c r="Y99" i="1"/>
  <c r="P100" i="1"/>
  <c r="Q100" i="1"/>
  <c r="R100" i="1"/>
  <c r="T100" i="1"/>
  <c r="S100" i="1" s="1"/>
  <c r="U100" i="1"/>
  <c r="V100" i="1"/>
  <c r="W100" i="1"/>
  <c r="X100" i="1"/>
  <c r="Y100" i="1"/>
  <c r="P101" i="1"/>
  <c r="Q101" i="1"/>
  <c r="R101" i="1"/>
  <c r="T101" i="1"/>
  <c r="S101" i="1" s="1"/>
  <c r="U101" i="1"/>
  <c r="V101" i="1"/>
  <c r="W101" i="1"/>
  <c r="X101" i="1"/>
  <c r="Y101" i="1"/>
  <c r="P102" i="1"/>
  <c r="Q102" i="1"/>
  <c r="R102" i="1"/>
  <c r="M102" i="1" s="1"/>
  <c r="S102" i="1"/>
  <c r="T102" i="1"/>
  <c r="U102" i="1"/>
  <c r="V102" i="1"/>
  <c r="W102" i="1"/>
  <c r="X102" i="1"/>
  <c r="Y102" i="1"/>
  <c r="P103" i="1"/>
  <c r="Q103" i="1"/>
  <c r="R103" i="1"/>
  <c r="T103" i="1"/>
  <c r="S103" i="1" s="1"/>
  <c r="U103" i="1"/>
  <c r="V103" i="1"/>
  <c r="W103" i="1"/>
  <c r="X103" i="1"/>
  <c r="Y103" i="1"/>
  <c r="P104" i="1"/>
  <c r="Q104" i="1"/>
  <c r="R104" i="1"/>
  <c r="M104" i="1" s="1"/>
  <c r="S104" i="1"/>
  <c r="T104" i="1"/>
  <c r="U104" i="1"/>
  <c r="V104" i="1"/>
  <c r="W104" i="1"/>
  <c r="X104" i="1"/>
  <c r="Y104" i="1"/>
  <c r="P105" i="1"/>
  <c r="Q105" i="1"/>
  <c r="R105" i="1"/>
  <c r="T105" i="1"/>
  <c r="S105" i="1" s="1"/>
  <c r="U105" i="1"/>
  <c r="V105" i="1"/>
  <c r="W105" i="1"/>
  <c r="X105" i="1"/>
  <c r="Y105" i="1"/>
  <c r="P106" i="1"/>
  <c r="Q106" i="1"/>
  <c r="R106" i="1"/>
  <c r="T106" i="1"/>
  <c r="S106" i="1" s="1"/>
  <c r="U106" i="1"/>
  <c r="V106" i="1"/>
  <c r="W106" i="1"/>
  <c r="X106" i="1"/>
  <c r="Y106" i="1"/>
  <c r="P107" i="1"/>
  <c r="Q107" i="1"/>
  <c r="R107" i="1"/>
  <c r="T107" i="1"/>
  <c r="S107" i="1" s="1"/>
  <c r="U107" i="1"/>
  <c r="V107" i="1"/>
  <c r="W107" i="1"/>
  <c r="X107" i="1"/>
  <c r="Y107" i="1"/>
  <c r="P108" i="1"/>
  <c r="Q108" i="1"/>
  <c r="R108" i="1"/>
  <c r="T108" i="1"/>
  <c r="S108" i="1" s="1"/>
  <c r="U108" i="1"/>
  <c r="V108" i="1"/>
  <c r="W108" i="1"/>
  <c r="X108" i="1"/>
  <c r="Y108" i="1"/>
  <c r="P109" i="1"/>
  <c r="Q109" i="1"/>
  <c r="R109" i="1"/>
  <c r="T109" i="1"/>
  <c r="S109" i="1" s="1"/>
  <c r="U109" i="1"/>
  <c r="V109" i="1"/>
  <c r="W109" i="1"/>
  <c r="X109" i="1"/>
  <c r="Y109" i="1"/>
  <c r="P110" i="1"/>
  <c r="Q110" i="1"/>
  <c r="R110" i="1"/>
  <c r="T110" i="1"/>
  <c r="S110" i="1" s="1"/>
  <c r="U110" i="1"/>
  <c r="V110" i="1"/>
  <c r="W110" i="1"/>
  <c r="X110" i="1"/>
  <c r="Y110" i="1"/>
  <c r="P111" i="1"/>
  <c r="Q111" i="1"/>
  <c r="R111" i="1"/>
  <c r="T111" i="1"/>
  <c r="S111" i="1" s="1"/>
  <c r="U111" i="1"/>
  <c r="V111" i="1"/>
  <c r="W111" i="1"/>
  <c r="X111" i="1"/>
  <c r="Y111" i="1"/>
  <c r="P112" i="1"/>
  <c r="Q112" i="1"/>
  <c r="R112" i="1"/>
  <c r="T112" i="1"/>
  <c r="S112" i="1" s="1"/>
  <c r="U112" i="1"/>
  <c r="V112" i="1"/>
  <c r="W112" i="1"/>
  <c r="X112" i="1"/>
  <c r="Y112" i="1"/>
  <c r="P113" i="1"/>
  <c r="Q113" i="1"/>
  <c r="R113" i="1"/>
  <c r="T113" i="1"/>
  <c r="S113" i="1" s="1"/>
  <c r="U113" i="1"/>
  <c r="V113" i="1"/>
  <c r="W113" i="1"/>
  <c r="X113" i="1"/>
  <c r="Y113" i="1"/>
  <c r="P114" i="1"/>
  <c r="Q114" i="1"/>
  <c r="R114" i="1"/>
  <c r="T114" i="1"/>
  <c r="S114" i="1" s="1"/>
  <c r="U114" i="1"/>
  <c r="V114" i="1"/>
  <c r="W114" i="1"/>
  <c r="X114" i="1"/>
  <c r="Y114" i="1"/>
  <c r="P115" i="1"/>
  <c r="Q115" i="1"/>
  <c r="R115" i="1"/>
  <c r="T115" i="1"/>
  <c r="S115" i="1" s="1"/>
  <c r="U115" i="1"/>
  <c r="V115" i="1"/>
  <c r="W115" i="1"/>
  <c r="X115" i="1"/>
  <c r="Y115" i="1"/>
  <c r="P116" i="1"/>
  <c r="Q116" i="1"/>
  <c r="R116" i="1"/>
  <c r="T116" i="1"/>
  <c r="S116" i="1" s="1"/>
  <c r="U116" i="1"/>
  <c r="V116" i="1"/>
  <c r="W116" i="1"/>
  <c r="X116" i="1"/>
  <c r="Y116" i="1"/>
  <c r="P117" i="1"/>
  <c r="Q117" i="1"/>
  <c r="R117" i="1"/>
  <c r="T117" i="1"/>
  <c r="S117" i="1" s="1"/>
  <c r="U117" i="1"/>
  <c r="V117" i="1"/>
  <c r="W117" i="1"/>
  <c r="X117" i="1"/>
  <c r="Y117" i="1"/>
  <c r="P118" i="1"/>
  <c r="Q118" i="1"/>
  <c r="R118" i="1"/>
  <c r="T118" i="1"/>
  <c r="S118" i="1" s="1"/>
  <c r="U118" i="1"/>
  <c r="V118" i="1"/>
  <c r="W118" i="1"/>
  <c r="X118" i="1"/>
  <c r="Y118" i="1"/>
  <c r="P119" i="1"/>
  <c r="Q119" i="1"/>
  <c r="R119" i="1"/>
  <c r="T119" i="1"/>
  <c r="S119" i="1" s="1"/>
  <c r="U119" i="1"/>
  <c r="V119" i="1"/>
  <c r="W119" i="1"/>
  <c r="X119" i="1"/>
  <c r="Y119" i="1"/>
  <c r="P120" i="1"/>
  <c r="Q120" i="1"/>
  <c r="R120" i="1"/>
  <c r="T120" i="1"/>
  <c r="S120" i="1" s="1"/>
  <c r="U120" i="1"/>
  <c r="V120" i="1"/>
  <c r="W120" i="1"/>
  <c r="X120" i="1"/>
  <c r="Y120" i="1"/>
  <c r="P121" i="1"/>
  <c r="Q121" i="1"/>
  <c r="R121" i="1"/>
  <c r="M121" i="1" s="1"/>
  <c r="S121" i="1"/>
  <c r="T121" i="1"/>
  <c r="U121" i="1"/>
  <c r="V121" i="1"/>
  <c r="W121" i="1"/>
  <c r="X121" i="1"/>
  <c r="Y121" i="1"/>
  <c r="P122" i="1"/>
  <c r="Q122" i="1"/>
  <c r="R122" i="1"/>
  <c r="T122" i="1"/>
  <c r="S122" i="1" s="1"/>
  <c r="U122" i="1"/>
  <c r="V122" i="1"/>
  <c r="W122" i="1"/>
  <c r="X122" i="1"/>
  <c r="Y122" i="1"/>
  <c r="P123" i="1"/>
  <c r="Q123" i="1"/>
  <c r="R123" i="1"/>
  <c r="T123" i="1"/>
  <c r="S123" i="1" s="1"/>
  <c r="U123" i="1"/>
  <c r="V123" i="1"/>
  <c r="W123" i="1"/>
  <c r="X123" i="1"/>
  <c r="Y123" i="1"/>
  <c r="P124" i="1"/>
  <c r="Q124" i="1"/>
  <c r="R124" i="1"/>
  <c r="T124" i="1"/>
  <c r="S124" i="1" s="1"/>
  <c r="U124" i="1"/>
  <c r="V124" i="1"/>
  <c r="W124" i="1"/>
  <c r="X124" i="1"/>
  <c r="Y124" i="1"/>
  <c r="P125" i="1"/>
  <c r="Q125" i="1"/>
  <c r="R125" i="1"/>
  <c r="M125" i="1" s="1"/>
  <c r="T125" i="1"/>
  <c r="U125" i="1"/>
  <c r="V125" i="1"/>
  <c r="W125" i="1"/>
  <c r="X125" i="1"/>
  <c r="Y125" i="1"/>
  <c r="S125" i="1" s="1"/>
  <c r="P126" i="1"/>
  <c r="Q126" i="1"/>
  <c r="R126" i="1"/>
  <c r="T126" i="1"/>
  <c r="S126" i="1" s="1"/>
  <c r="U126" i="1"/>
  <c r="V126" i="1"/>
  <c r="W126" i="1"/>
  <c r="X126" i="1"/>
  <c r="Y126" i="1"/>
  <c r="P127" i="1"/>
  <c r="Q127" i="1"/>
  <c r="R127" i="1"/>
  <c r="T127" i="1"/>
  <c r="S127" i="1" s="1"/>
  <c r="U127" i="1"/>
  <c r="V127" i="1"/>
  <c r="W127" i="1"/>
  <c r="X127" i="1"/>
  <c r="Y127" i="1"/>
  <c r="P128" i="1"/>
  <c r="Q128" i="1"/>
  <c r="R128" i="1"/>
  <c r="T128" i="1"/>
  <c r="S128" i="1" s="1"/>
  <c r="U128" i="1"/>
  <c r="V128" i="1"/>
  <c r="W128" i="1"/>
  <c r="X128" i="1"/>
  <c r="Y128" i="1"/>
  <c r="P129" i="1"/>
  <c r="Q129" i="1"/>
  <c r="R129" i="1"/>
  <c r="T129" i="1"/>
  <c r="S129" i="1" s="1"/>
  <c r="U129" i="1"/>
  <c r="V129" i="1"/>
  <c r="W129" i="1"/>
  <c r="X129" i="1"/>
  <c r="Y129" i="1"/>
  <c r="P130" i="1"/>
  <c r="Q130" i="1"/>
  <c r="R130" i="1"/>
  <c r="T130" i="1"/>
  <c r="U130" i="1"/>
  <c r="V130" i="1"/>
  <c r="W130" i="1"/>
  <c r="S130" i="1" s="1"/>
  <c r="X130" i="1"/>
  <c r="Y130" i="1"/>
  <c r="P131" i="1"/>
  <c r="Q131" i="1"/>
  <c r="R131" i="1"/>
  <c r="T131" i="1"/>
  <c r="S131" i="1" s="1"/>
  <c r="U131" i="1"/>
  <c r="V131" i="1"/>
  <c r="W131" i="1"/>
  <c r="X131" i="1"/>
  <c r="Y131" i="1"/>
  <c r="P132" i="1"/>
  <c r="Q132" i="1"/>
  <c r="R132" i="1"/>
  <c r="T132" i="1"/>
  <c r="S132" i="1" s="1"/>
  <c r="U132" i="1"/>
  <c r="V132" i="1"/>
  <c r="W132" i="1"/>
  <c r="X132" i="1"/>
  <c r="Y132" i="1"/>
  <c r="P133" i="1"/>
  <c r="Q133" i="1"/>
  <c r="R133" i="1"/>
  <c r="T133" i="1"/>
  <c r="S133" i="1" s="1"/>
  <c r="M133" i="1" s="1"/>
  <c r="U133" i="1"/>
  <c r="V133" i="1"/>
  <c r="W133" i="1"/>
  <c r="X133" i="1"/>
  <c r="Y133" i="1"/>
  <c r="P134" i="1"/>
  <c r="Q134" i="1"/>
  <c r="R134" i="1"/>
  <c r="T134" i="1"/>
  <c r="S134" i="1" s="1"/>
  <c r="U134" i="1"/>
  <c r="V134" i="1"/>
  <c r="W134" i="1"/>
  <c r="X134" i="1"/>
  <c r="Y134" i="1"/>
  <c r="P135" i="1"/>
  <c r="Q135" i="1"/>
  <c r="R135" i="1"/>
  <c r="T135" i="1"/>
  <c r="S135" i="1" s="1"/>
  <c r="M135" i="1" s="1"/>
  <c r="U135" i="1"/>
  <c r="V135" i="1"/>
  <c r="W135" i="1"/>
  <c r="X135" i="1"/>
  <c r="Y135" i="1"/>
  <c r="P136" i="1"/>
  <c r="Q136" i="1"/>
  <c r="R136" i="1"/>
  <c r="T136" i="1"/>
  <c r="S136" i="1" s="1"/>
  <c r="U136" i="1"/>
  <c r="V136" i="1"/>
  <c r="W136" i="1"/>
  <c r="X136" i="1"/>
  <c r="Y136" i="1"/>
  <c r="P137" i="1"/>
  <c r="Q137" i="1"/>
  <c r="R137" i="1"/>
  <c r="T137" i="1"/>
  <c r="S137" i="1" s="1"/>
  <c r="U137" i="1"/>
  <c r="V137" i="1"/>
  <c r="W137" i="1"/>
  <c r="X137" i="1"/>
  <c r="Y137" i="1"/>
  <c r="P138" i="1"/>
  <c r="Q138" i="1"/>
  <c r="R138" i="1"/>
  <c r="T138" i="1"/>
  <c r="S138" i="1" s="1"/>
  <c r="U138" i="1"/>
  <c r="V138" i="1"/>
  <c r="W138" i="1"/>
  <c r="X138" i="1"/>
  <c r="Y138" i="1"/>
  <c r="P139" i="1"/>
  <c r="Q139" i="1"/>
  <c r="R139" i="1"/>
  <c r="T139" i="1"/>
  <c r="S139" i="1" s="1"/>
  <c r="M139" i="1" s="1"/>
  <c r="U139" i="1"/>
  <c r="V139" i="1"/>
  <c r="W139" i="1"/>
  <c r="X139" i="1"/>
  <c r="Y139" i="1"/>
  <c r="P140" i="1"/>
  <c r="Q140" i="1"/>
  <c r="R140" i="1"/>
  <c r="T140" i="1"/>
  <c r="S140" i="1" s="1"/>
  <c r="U140" i="1"/>
  <c r="V140" i="1"/>
  <c r="W140" i="1"/>
  <c r="X140" i="1"/>
  <c r="Y140" i="1"/>
  <c r="P141" i="1"/>
  <c r="Q141" i="1"/>
  <c r="R141" i="1"/>
  <c r="T141" i="1"/>
  <c r="S141" i="1" s="1"/>
  <c r="U141" i="1"/>
  <c r="V141" i="1"/>
  <c r="W141" i="1"/>
  <c r="X141" i="1"/>
  <c r="Y141" i="1"/>
  <c r="P142" i="1"/>
  <c r="Q142" i="1"/>
  <c r="R142" i="1"/>
  <c r="T142" i="1"/>
  <c r="S142" i="1" s="1"/>
  <c r="U142" i="1"/>
  <c r="V142" i="1"/>
  <c r="W142" i="1"/>
  <c r="X142" i="1"/>
  <c r="Y142" i="1"/>
  <c r="P143" i="1"/>
  <c r="Q143" i="1"/>
  <c r="R143" i="1"/>
  <c r="T143" i="1"/>
  <c r="S143" i="1" s="1"/>
  <c r="U143" i="1"/>
  <c r="V143" i="1"/>
  <c r="W143" i="1"/>
  <c r="X143" i="1"/>
  <c r="Y143" i="1"/>
  <c r="N144" i="1"/>
  <c r="P144" i="1"/>
  <c r="O144" i="1" s="1"/>
  <c r="Q144" i="1"/>
  <c r="R144" i="1"/>
  <c r="T144" i="1"/>
  <c r="S144" i="1" s="1"/>
  <c r="U144" i="1"/>
  <c r="V144" i="1"/>
  <c r="W144" i="1"/>
  <c r="X144" i="1"/>
  <c r="Y144" i="1"/>
  <c r="N145" i="1"/>
  <c r="P145" i="1"/>
  <c r="O145" i="1" s="1"/>
  <c r="Q145" i="1"/>
  <c r="R145" i="1"/>
  <c r="T145" i="1"/>
  <c r="S145" i="1" s="1"/>
  <c r="M145" i="1" s="1"/>
  <c r="U145" i="1"/>
  <c r="V145" i="1"/>
  <c r="W145" i="1"/>
  <c r="X145" i="1"/>
  <c r="Y145" i="1"/>
  <c r="P146" i="1"/>
  <c r="Q146" i="1"/>
  <c r="R146" i="1"/>
  <c r="T146" i="1"/>
  <c r="S146" i="1" s="1"/>
  <c r="U146" i="1"/>
  <c r="V146" i="1"/>
  <c r="W146" i="1"/>
  <c r="X146" i="1"/>
  <c r="Y146" i="1"/>
  <c r="P147" i="1"/>
  <c r="Q147" i="1"/>
  <c r="R147" i="1"/>
  <c r="T147" i="1"/>
  <c r="S147" i="1" s="1"/>
  <c r="U147" i="1"/>
  <c r="V147" i="1"/>
  <c r="W147" i="1"/>
  <c r="X147" i="1"/>
  <c r="Y147" i="1"/>
  <c r="P148" i="1"/>
  <c r="Q148" i="1"/>
  <c r="R148" i="1"/>
  <c r="T148" i="1"/>
  <c r="S148" i="1" s="1"/>
  <c r="U148" i="1"/>
  <c r="V148" i="1"/>
  <c r="W148" i="1"/>
  <c r="X148" i="1"/>
  <c r="Y148" i="1"/>
  <c r="P149" i="1"/>
  <c r="Q149" i="1"/>
  <c r="R149" i="1"/>
  <c r="T149" i="1"/>
  <c r="S149" i="1" s="1"/>
  <c r="U149" i="1"/>
  <c r="V149" i="1"/>
  <c r="W149" i="1"/>
  <c r="X149" i="1"/>
  <c r="Y149" i="1"/>
  <c r="P150" i="1"/>
  <c r="Q150" i="1"/>
  <c r="R150" i="1"/>
  <c r="T150" i="1"/>
  <c r="S150" i="1" s="1"/>
  <c r="U150" i="1"/>
  <c r="V150" i="1"/>
  <c r="W150" i="1"/>
  <c r="X150" i="1"/>
  <c r="Y150" i="1"/>
  <c r="P151" i="1"/>
  <c r="Q151" i="1"/>
  <c r="R151" i="1"/>
  <c r="T151" i="1"/>
  <c r="S151" i="1" s="1"/>
  <c r="U151" i="1"/>
  <c r="V151" i="1"/>
  <c r="W151" i="1"/>
  <c r="X151" i="1"/>
  <c r="Y151" i="1"/>
  <c r="P152" i="1"/>
  <c r="Q152" i="1"/>
  <c r="R152" i="1"/>
  <c r="T152" i="1"/>
  <c r="S152" i="1" s="1"/>
  <c r="U152" i="1"/>
  <c r="V152" i="1"/>
  <c r="W152" i="1"/>
  <c r="X152" i="1"/>
  <c r="Y152" i="1"/>
  <c r="P153" i="1"/>
  <c r="Q153" i="1"/>
  <c r="R153" i="1"/>
  <c r="T153" i="1"/>
  <c r="S153" i="1" s="1"/>
  <c r="U153" i="1"/>
  <c r="V153" i="1"/>
  <c r="W153" i="1"/>
  <c r="X153" i="1"/>
  <c r="Y153" i="1"/>
  <c r="P154" i="1"/>
  <c r="Q154" i="1"/>
  <c r="R154" i="1"/>
  <c r="T154" i="1"/>
  <c r="S154" i="1" s="1"/>
  <c r="U154" i="1"/>
  <c r="V154" i="1"/>
  <c r="W154" i="1"/>
  <c r="X154" i="1"/>
  <c r="Y154" i="1"/>
  <c r="P155" i="1"/>
  <c r="Q155" i="1"/>
  <c r="R155" i="1"/>
  <c r="T155" i="1"/>
  <c r="S155" i="1" s="1"/>
  <c r="U155" i="1"/>
  <c r="V155" i="1"/>
  <c r="W155" i="1"/>
  <c r="X155" i="1"/>
  <c r="Y155" i="1"/>
  <c r="P156" i="1"/>
  <c r="Q156" i="1"/>
  <c r="R156" i="1"/>
  <c r="M156" i="1" s="1"/>
  <c r="S156" i="1"/>
  <c r="T156" i="1"/>
  <c r="U156" i="1"/>
  <c r="V156" i="1"/>
  <c r="W156" i="1"/>
  <c r="X156" i="1"/>
  <c r="Y156" i="1"/>
  <c r="P157" i="1"/>
  <c r="Q157" i="1"/>
  <c r="R157" i="1"/>
  <c r="T157" i="1"/>
  <c r="S157" i="1" s="1"/>
  <c r="U157" i="1"/>
  <c r="V157" i="1"/>
  <c r="W157" i="1"/>
  <c r="X157" i="1"/>
  <c r="Y157" i="1"/>
  <c r="P158" i="1"/>
  <c r="Q158" i="1"/>
  <c r="R158" i="1"/>
  <c r="T158" i="1"/>
  <c r="S158" i="1" s="1"/>
  <c r="U158" i="1"/>
  <c r="V158" i="1"/>
  <c r="W158" i="1"/>
  <c r="X158" i="1"/>
  <c r="Y158" i="1"/>
  <c r="P159" i="1"/>
  <c r="Q159" i="1"/>
  <c r="R159" i="1"/>
  <c r="T159" i="1"/>
  <c r="S159" i="1" s="1"/>
  <c r="U159" i="1"/>
  <c r="V159" i="1"/>
  <c r="W159" i="1"/>
  <c r="X159" i="1"/>
  <c r="Y159" i="1"/>
  <c r="P160" i="1"/>
  <c r="Q160" i="1"/>
  <c r="R160" i="1"/>
  <c r="T160" i="1"/>
  <c r="S160" i="1" s="1"/>
  <c r="U160" i="1"/>
  <c r="V160" i="1"/>
  <c r="W160" i="1"/>
  <c r="X160" i="1"/>
  <c r="Y160" i="1"/>
  <c r="P161" i="1"/>
  <c r="Q161" i="1"/>
  <c r="R161" i="1"/>
  <c r="T161" i="1"/>
  <c r="S161" i="1" s="1"/>
  <c r="U161" i="1"/>
  <c r="V161" i="1"/>
  <c r="W161" i="1"/>
  <c r="X161" i="1"/>
  <c r="Y161" i="1"/>
  <c r="P162" i="1"/>
  <c r="Q162" i="1"/>
  <c r="R162" i="1"/>
  <c r="T162" i="1"/>
  <c r="S162" i="1" s="1"/>
  <c r="U162" i="1"/>
  <c r="V162" i="1"/>
  <c r="W162" i="1"/>
  <c r="X162" i="1"/>
  <c r="Y162" i="1"/>
  <c r="O163" i="1"/>
  <c r="P163" i="1"/>
  <c r="N163" i="1" s="1"/>
  <c r="Q163" i="1"/>
  <c r="R163" i="1"/>
  <c r="T163" i="1"/>
  <c r="S163" i="1" s="1"/>
  <c r="U163" i="1"/>
  <c r="V163" i="1"/>
  <c r="W163" i="1"/>
  <c r="X163" i="1"/>
  <c r="Y163" i="1"/>
  <c r="P164" i="1"/>
  <c r="Q164" i="1"/>
  <c r="R164" i="1"/>
  <c r="T164" i="1"/>
  <c r="S164" i="1" s="1"/>
  <c r="U164" i="1"/>
  <c r="V164" i="1"/>
  <c r="W164" i="1"/>
  <c r="X164" i="1"/>
  <c r="Y164" i="1"/>
  <c r="P165" i="1"/>
  <c r="Q165" i="1"/>
  <c r="R165" i="1"/>
  <c r="T165" i="1"/>
  <c r="S165" i="1" s="1"/>
  <c r="M165" i="1" s="1"/>
  <c r="U165" i="1"/>
  <c r="V165" i="1"/>
  <c r="W165" i="1"/>
  <c r="X165" i="1"/>
  <c r="Y165" i="1"/>
  <c r="P166" i="1"/>
  <c r="Q166" i="1"/>
  <c r="R166" i="1"/>
  <c r="T166" i="1"/>
  <c r="S166" i="1" s="1"/>
  <c r="U166" i="1"/>
  <c r="V166" i="1"/>
  <c r="W166" i="1"/>
  <c r="X166" i="1"/>
  <c r="Y166" i="1"/>
  <c r="P167" i="1"/>
  <c r="Q167" i="1"/>
  <c r="R167" i="1"/>
  <c r="T167" i="1"/>
  <c r="S167" i="1" s="1"/>
  <c r="U167" i="1"/>
  <c r="V167" i="1"/>
  <c r="W167" i="1"/>
  <c r="X167" i="1"/>
  <c r="Y167" i="1"/>
  <c r="P168" i="1"/>
  <c r="Q168" i="1"/>
  <c r="R168" i="1"/>
  <c r="T168" i="1"/>
  <c r="S168" i="1" s="1"/>
  <c r="U168" i="1"/>
  <c r="V168" i="1"/>
  <c r="W168" i="1"/>
  <c r="X168" i="1"/>
  <c r="Y168" i="1"/>
  <c r="P169" i="1"/>
  <c r="Q169" i="1"/>
  <c r="R169" i="1"/>
  <c r="T169" i="1"/>
  <c r="S169" i="1" s="1"/>
  <c r="U169" i="1"/>
  <c r="V169" i="1"/>
  <c r="W169" i="1"/>
  <c r="X169" i="1"/>
  <c r="Y169" i="1"/>
  <c r="P170" i="1"/>
  <c r="Q170" i="1"/>
  <c r="R170" i="1"/>
  <c r="T170" i="1"/>
  <c r="S170" i="1" s="1"/>
  <c r="U170" i="1"/>
  <c r="V170" i="1"/>
  <c r="W170" i="1"/>
  <c r="X170" i="1"/>
  <c r="Y170" i="1"/>
  <c r="P171" i="1"/>
  <c r="Q171" i="1"/>
  <c r="R171" i="1"/>
  <c r="T171" i="1"/>
  <c r="S171" i="1" s="1"/>
  <c r="U171" i="1"/>
  <c r="V171" i="1"/>
  <c r="W171" i="1"/>
  <c r="X171" i="1"/>
  <c r="Y171" i="1"/>
  <c r="P172" i="1"/>
  <c r="Q172" i="1"/>
  <c r="R172" i="1"/>
  <c r="T172" i="1"/>
  <c r="S172" i="1" s="1"/>
  <c r="U172" i="1"/>
  <c r="V172" i="1"/>
  <c r="W172" i="1"/>
  <c r="X172" i="1"/>
  <c r="Y172" i="1"/>
  <c r="P173" i="1"/>
  <c r="Q173" i="1"/>
  <c r="R173" i="1"/>
  <c r="T173" i="1"/>
  <c r="S173" i="1" s="1"/>
  <c r="U173" i="1"/>
  <c r="V173" i="1"/>
  <c r="W173" i="1"/>
  <c r="X173" i="1"/>
  <c r="Y173" i="1"/>
  <c r="P174" i="1"/>
  <c r="Q174" i="1"/>
  <c r="R174" i="1"/>
  <c r="T174" i="1"/>
  <c r="S174" i="1" s="1"/>
  <c r="U174" i="1"/>
  <c r="V174" i="1"/>
  <c r="W174" i="1"/>
  <c r="X174" i="1"/>
  <c r="Y174" i="1"/>
  <c r="P175" i="1"/>
  <c r="Q175" i="1"/>
  <c r="R175" i="1"/>
  <c r="T175" i="1"/>
  <c r="S175" i="1" s="1"/>
  <c r="U175" i="1"/>
  <c r="V175" i="1"/>
  <c r="W175" i="1"/>
  <c r="X175" i="1"/>
  <c r="Y175" i="1"/>
  <c r="P176" i="1"/>
  <c r="Q176" i="1"/>
  <c r="R176" i="1"/>
  <c r="T176" i="1"/>
  <c r="S176" i="1" s="1"/>
  <c r="U176" i="1"/>
  <c r="V176" i="1"/>
  <c r="W176" i="1"/>
  <c r="X176" i="1"/>
  <c r="Y176" i="1"/>
  <c r="P177" i="1"/>
  <c r="Q177" i="1"/>
  <c r="R177" i="1"/>
  <c r="T177" i="1"/>
  <c r="S177" i="1" s="1"/>
  <c r="U177" i="1"/>
  <c r="V177" i="1"/>
  <c r="W177" i="1"/>
  <c r="X177" i="1"/>
  <c r="Y177" i="1"/>
  <c r="P178" i="1"/>
  <c r="Q178" i="1"/>
  <c r="R178" i="1"/>
  <c r="T178" i="1"/>
  <c r="S178" i="1" s="1"/>
  <c r="U178" i="1"/>
  <c r="V178" i="1"/>
  <c r="W178" i="1"/>
  <c r="X178" i="1"/>
  <c r="Y178" i="1"/>
  <c r="P179" i="1"/>
  <c r="Q179" i="1"/>
  <c r="R179" i="1"/>
  <c r="T179" i="1"/>
  <c r="S179" i="1" s="1"/>
  <c r="U179" i="1"/>
  <c r="V179" i="1"/>
  <c r="W179" i="1"/>
  <c r="X179" i="1"/>
  <c r="Y179" i="1"/>
  <c r="P180" i="1"/>
  <c r="Q180" i="1"/>
  <c r="R180" i="1"/>
  <c r="T180" i="1"/>
  <c r="S180" i="1" s="1"/>
  <c r="U180" i="1"/>
  <c r="V180" i="1"/>
  <c r="W180" i="1"/>
  <c r="X180" i="1"/>
  <c r="Y180" i="1"/>
  <c r="P181" i="1"/>
  <c r="Q181" i="1"/>
  <c r="R181" i="1"/>
  <c r="T181" i="1"/>
  <c r="S181" i="1" s="1"/>
  <c r="U181" i="1"/>
  <c r="V181" i="1"/>
  <c r="W181" i="1"/>
  <c r="X181" i="1"/>
  <c r="Y181" i="1"/>
  <c r="P182" i="1"/>
  <c r="Q182" i="1"/>
  <c r="R182" i="1"/>
  <c r="T182" i="1"/>
  <c r="S182" i="1" s="1"/>
  <c r="U182" i="1"/>
  <c r="V182" i="1"/>
  <c r="W182" i="1"/>
  <c r="X182" i="1"/>
  <c r="Y182" i="1"/>
  <c r="O183" i="1"/>
  <c r="P183" i="1"/>
  <c r="N183" i="1" s="1"/>
  <c r="Q183" i="1"/>
  <c r="R183" i="1"/>
  <c r="T183" i="1"/>
  <c r="S183" i="1" s="1"/>
  <c r="U183" i="1"/>
  <c r="V183" i="1"/>
  <c r="W183" i="1"/>
  <c r="X183" i="1"/>
  <c r="Y183" i="1"/>
  <c r="P184" i="1"/>
  <c r="Q184" i="1"/>
  <c r="R184" i="1"/>
  <c r="T184" i="1"/>
  <c r="S184" i="1" s="1"/>
  <c r="U184" i="1"/>
  <c r="V184" i="1"/>
  <c r="W184" i="1"/>
  <c r="X184" i="1"/>
  <c r="Y184" i="1"/>
  <c r="P185" i="1"/>
  <c r="Q185" i="1"/>
  <c r="R185" i="1"/>
  <c r="T185" i="1"/>
  <c r="S185" i="1" s="1"/>
  <c r="U185" i="1"/>
  <c r="V185" i="1"/>
  <c r="W185" i="1"/>
  <c r="X185" i="1"/>
  <c r="Y185" i="1"/>
  <c r="P186" i="1"/>
  <c r="Q186" i="1"/>
  <c r="R186" i="1"/>
  <c r="T186" i="1"/>
  <c r="S186" i="1" s="1"/>
  <c r="U186" i="1"/>
  <c r="V186" i="1"/>
  <c r="W186" i="1"/>
  <c r="X186" i="1"/>
  <c r="Y186" i="1"/>
  <c r="P187" i="1"/>
  <c r="Q187" i="1"/>
  <c r="R187" i="1"/>
  <c r="T187" i="1"/>
  <c r="S187" i="1" s="1"/>
  <c r="U187" i="1"/>
  <c r="V187" i="1"/>
  <c r="W187" i="1"/>
  <c r="X187" i="1"/>
  <c r="Y187" i="1"/>
  <c r="P188" i="1"/>
  <c r="Q188" i="1"/>
  <c r="R188" i="1"/>
  <c r="T188" i="1"/>
  <c r="S188" i="1" s="1"/>
  <c r="U188" i="1"/>
  <c r="V188" i="1"/>
  <c r="W188" i="1"/>
  <c r="X188" i="1"/>
  <c r="Y188" i="1"/>
  <c r="P189" i="1"/>
  <c r="Q189" i="1"/>
  <c r="R189" i="1"/>
  <c r="T189" i="1"/>
  <c r="S189" i="1" s="1"/>
  <c r="U189" i="1"/>
  <c r="V189" i="1"/>
  <c r="W189" i="1"/>
  <c r="X189" i="1"/>
  <c r="Y189" i="1"/>
  <c r="P190" i="1"/>
  <c r="Q190" i="1"/>
  <c r="R190" i="1"/>
  <c r="T190" i="1"/>
  <c r="S190" i="1" s="1"/>
  <c r="U190" i="1"/>
  <c r="V190" i="1"/>
  <c r="W190" i="1"/>
  <c r="X190" i="1"/>
  <c r="Y190" i="1"/>
  <c r="P191" i="1"/>
  <c r="Q191" i="1"/>
  <c r="R191" i="1"/>
  <c r="T191" i="1"/>
  <c r="S191" i="1" s="1"/>
  <c r="U191" i="1"/>
  <c r="V191" i="1"/>
  <c r="W191" i="1"/>
  <c r="X191" i="1"/>
  <c r="Y191" i="1"/>
  <c r="P192" i="1"/>
  <c r="Q192" i="1"/>
  <c r="R192" i="1"/>
  <c r="T192" i="1"/>
  <c r="S192" i="1" s="1"/>
  <c r="U192" i="1"/>
  <c r="V192" i="1"/>
  <c r="W192" i="1"/>
  <c r="X192" i="1"/>
  <c r="Y192" i="1"/>
  <c r="P193" i="1"/>
  <c r="Q193" i="1"/>
  <c r="R193" i="1"/>
  <c r="T193" i="1"/>
  <c r="S193" i="1" s="1"/>
  <c r="U193" i="1"/>
  <c r="V193" i="1"/>
  <c r="W193" i="1"/>
  <c r="X193" i="1"/>
  <c r="Y193" i="1"/>
  <c r="P194" i="1"/>
  <c r="Q194" i="1"/>
  <c r="R194" i="1"/>
  <c r="T194" i="1"/>
  <c r="S194" i="1" s="1"/>
  <c r="U194" i="1"/>
  <c r="V194" i="1"/>
  <c r="W194" i="1"/>
  <c r="X194" i="1"/>
  <c r="Y194" i="1"/>
  <c r="P195" i="1"/>
  <c r="Q195" i="1"/>
  <c r="R195" i="1"/>
  <c r="T195" i="1"/>
  <c r="S195" i="1" s="1"/>
  <c r="U195" i="1"/>
  <c r="V195" i="1"/>
  <c r="W195" i="1"/>
  <c r="X195" i="1"/>
  <c r="Y195" i="1"/>
  <c r="P196" i="1"/>
  <c r="Q196" i="1"/>
  <c r="R196" i="1"/>
  <c r="T196" i="1"/>
  <c r="S196" i="1" s="1"/>
  <c r="U196" i="1"/>
  <c r="V196" i="1"/>
  <c r="W196" i="1"/>
  <c r="X196" i="1"/>
  <c r="Y196" i="1"/>
  <c r="P197" i="1"/>
  <c r="Q197" i="1"/>
  <c r="R197" i="1"/>
  <c r="T197" i="1"/>
  <c r="S197" i="1" s="1"/>
  <c r="U197" i="1"/>
  <c r="V197" i="1"/>
  <c r="W197" i="1"/>
  <c r="X197" i="1"/>
  <c r="Y197" i="1"/>
  <c r="P198" i="1"/>
  <c r="Q198" i="1"/>
  <c r="R198" i="1"/>
  <c r="T198" i="1"/>
  <c r="S198" i="1" s="1"/>
  <c r="U198" i="1"/>
  <c r="V198" i="1"/>
  <c r="W198" i="1"/>
  <c r="X198" i="1"/>
  <c r="Y198" i="1"/>
  <c r="P199" i="1"/>
  <c r="Q199" i="1"/>
  <c r="R199" i="1"/>
  <c r="T199" i="1"/>
  <c r="S199" i="1" s="1"/>
  <c r="U199" i="1"/>
  <c r="V199" i="1"/>
  <c r="W199" i="1"/>
  <c r="X199" i="1"/>
  <c r="Y199" i="1"/>
  <c r="P200" i="1"/>
  <c r="Q200" i="1"/>
  <c r="R200" i="1"/>
  <c r="T200" i="1"/>
  <c r="S200" i="1" s="1"/>
  <c r="U200" i="1"/>
  <c r="V200" i="1"/>
  <c r="W200" i="1"/>
  <c r="X200" i="1"/>
  <c r="Y200" i="1"/>
  <c r="P201" i="1"/>
  <c r="Q201" i="1"/>
  <c r="R201" i="1"/>
  <c r="T201" i="1"/>
  <c r="S201" i="1" s="1"/>
  <c r="U201" i="1"/>
  <c r="V201" i="1"/>
  <c r="W201" i="1"/>
  <c r="X201" i="1"/>
  <c r="Y201" i="1"/>
  <c r="P202" i="1"/>
  <c r="Q202" i="1"/>
  <c r="R202" i="1"/>
  <c r="T202" i="1"/>
  <c r="S202" i="1" s="1"/>
  <c r="U202" i="1"/>
  <c r="V202" i="1"/>
  <c r="W202" i="1"/>
  <c r="X202" i="1"/>
  <c r="Y202" i="1"/>
  <c r="P203" i="1"/>
  <c r="Q203" i="1"/>
  <c r="R203" i="1"/>
  <c r="T203" i="1"/>
  <c r="S203" i="1" s="1"/>
  <c r="U203" i="1"/>
  <c r="V203" i="1"/>
  <c r="W203" i="1"/>
  <c r="X203" i="1"/>
  <c r="Y203" i="1"/>
  <c r="P204" i="1"/>
  <c r="Q204" i="1"/>
  <c r="R204" i="1"/>
  <c r="T204" i="1"/>
  <c r="S204" i="1" s="1"/>
  <c r="U204" i="1"/>
  <c r="V204" i="1"/>
  <c r="W204" i="1"/>
  <c r="X204" i="1"/>
  <c r="Y204" i="1"/>
  <c r="P205" i="1"/>
  <c r="Q205" i="1"/>
  <c r="R205" i="1"/>
  <c r="T205" i="1"/>
  <c r="S205" i="1" s="1"/>
  <c r="U205" i="1"/>
  <c r="V205" i="1"/>
  <c r="W205" i="1"/>
  <c r="X205" i="1"/>
  <c r="Y205" i="1"/>
  <c r="P206" i="1"/>
  <c r="Q206" i="1"/>
  <c r="R206" i="1"/>
  <c r="T206" i="1"/>
  <c r="S206" i="1" s="1"/>
  <c r="U206" i="1"/>
  <c r="V206" i="1"/>
  <c r="W206" i="1"/>
  <c r="X206" i="1"/>
  <c r="Y206" i="1"/>
  <c r="P207" i="1"/>
  <c r="Q207" i="1"/>
  <c r="R207" i="1"/>
  <c r="T207" i="1"/>
  <c r="S207" i="1" s="1"/>
  <c r="U207" i="1"/>
  <c r="V207" i="1"/>
  <c r="W207" i="1"/>
  <c r="X207" i="1"/>
  <c r="Y207" i="1"/>
  <c r="P208" i="1"/>
  <c r="Q208" i="1"/>
  <c r="R208" i="1"/>
  <c r="T208" i="1"/>
  <c r="S208" i="1" s="1"/>
  <c r="U208" i="1"/>
  <c r="V208" i="1"/>
  <c r="W208" i="1"/>
  <c r="X208" i="1"/>
  <c r="Y208" i="1"/>
  <c r="P209" i="1"/>
  <c r="Q209" i="1"/>
  <c r="R209" i="1"/>
  <c r="T209" i="1"/>
  <c r="S209" i="1" s="1"/>
  <c r="U209" i="1"/>
  <c r="V209" i="1"/>
  <c r="W209" i="1"/>
  <c r="X209" i="1"/>
  <c r="Y209" i="1"/>
  <c r="P210" i="1"/>
  <c r="Q210" i="1"/>
  <c r="R210" i="1"/>
  <c r="T210" i="1"/>
  <c r="S210" i="1" s="1"/>
  <c r="U210" i="1"/>
  <c r="V210" i="1"/>
  <c r="W210" i="1"/>
  <c r="X210" i="1"/>
  <c r="Y210" i="1"/>
  <c r="P211" i="1"/>
  <c r="Q211" i="1"/>
  <c r="R211" i="1"/>
  <c r="T211" i="1"/>
  <c r="S211" i="1" s="1"/>
  <c r="U211" i="1"/>
  <c r="V211" i="1"/>
  <c r="W211" i="1"/>
  <c r="X211" i="1"/>
  <c r="Y211" i="1"/>
  <c r="P212" i="1"/>
  <c r="Q212" i="1"/>
  <c r="R212" i="1"/>
  <c r="T212" i="1"/>
  <c r="S212" i="1" s="1"/>
  <c r="U212" i="1"/>
  <c r="V212" i="1"/>
  <c r="W212" i="1"/>
  <c r="X212" i="1"/>
  <c r="Y212" i="1"/>
  <c r="P213" i="1"/>
  <c r="Q213" i="1"/>
  <c r="R213" i="1"/>
  <c r="T213" i="1"/>
  <c r="U213" i="1"/>
  <c r="S213" i="1" s="1"/>
  <c r="V213" i="1"/>
  <c r="W213" i="1"/>
  <c r="X213" i="1"/>
  <c r="Y213" i="1"/>
  <c r="O214" i="1"/>
  <c r="P214" i="1"/>
  <c r="N214" i="1" s="1"/>
  <c r="Q214" i="1"/>
  <c r="R214" i="1"/>
  <c r="T214" i="1"/>
  <c r="U214" i="1"/>
  <c r="V214" i="1"/>
  <c r="S214" i="1" s="1"/>
  <c r="M214" i="1" s="1"/>
  <c r="W214" i="1"/>
  <c r="X214" i="1"/>
  <c r="Y214" i="1"/>
  <c r="P215" i="1"/>
  <c r="Q215" i="1"/>
  <c r="R215" i="1"/>
  <c r="T215" i="1"/>
  <c r="S215" i="1" s="1"/>
  <c r="U215" i="1"/>
  <c r="V215" i="1"/>
  <c r="W215" i="1"/>
  <c r="X215" i="1"/>
  <c r="Y215" i="1"/>
  <c r="P216" i="1"/>
  <c r="Q216" i="1"/>
  <c r="R216" i="1"/>
  <c r="T216" i="1"/>
  <c r="S216" i="1" s="1"/>
  <c r="U216" i="1"/>
  <c r="V216" i="1"/>
  <c r="W216" i="1"/>
  <c r="X216" i="1"/>
  <c r="Y216" i="1"/>
  <c r="P217" i="1"/>
  <c r="Q217" i="1"/>
  <c r="R217" i="1"/>
  <c r="T217" i="1"/>
  <c r="S217" i="1" s="1"/>
  <c r="U217" i="1"/>
  <c r="V217" i="1"/>
  <c r="W217" i="1"/>
  <c r="X217" i="1"/>
  <c r="Y217" i="1"/>
  <c r="P218" i="1"/>
  <c r="Q218" i="1"/>
  <c r="R218" i="1"/>
  <c r="T218" i="1"/>
  <c r="U218" i="1"/>
  <c r="S218" i="1" s="1"/>
  <c r="V218" i="1"/>
  <c r="W218" i="1"/>
  <c r="X218" i="1"/>
  <c r="Y218" i="1"/>
  <c r="P219" i="1"/>
  <c r="Q219" i="1"/>
  <c r="R219" i="1"/>
  <c r="T219" i="1"/>
  <c r="S219" i="1" s="1"/>
  <c r="M219" i="1" s="1"/>
  <c r="U219" i="1"/>
  <c r="V219" i="1"/>
  <c r="W219" i="1"/>
  <c r="X219" i="1"/>
  <c r="Y219" i="1"/>
  <c r="P220" i="1"/>
  <c r="Q220" i="1"/>
  <c r="R220" i="1"/>
  <c r="T220" i="1"/>
  <c r="S220" i="1" s="1"/>
  <c r="U220" i="1"/>
  <c r="V220" i="1"/>
  <c r="W220" i="1"/>
  <c r="X220" i="1"/>
  <c r="Y220" i="1"/>
  <c r="P221" i="1"/>
  <c r="Q221" i="1"/>
  <c r="R221" i="1"/>
  <c r="T221" i="1"/>
  <c r="U221" i="1"/>
  <c r="V221" i="1"/>
  <c r="W221" i="1"/>
  <c r="X221" i="1"/>
  <c r="Y221" i="1"/>
  <c r="S221" i="1" s="1"/>
  <c r="P222" i="1"/>
  <c r="Q222" i="1"/>
  <c r="R222" i="1"/>
  <c r="T222" i="1"/>
  <c r="S222" i="1" s="1"/>
  <c r="U222" i="1"/>
  <c r="V222" i="1"/>
  <c r="W222" i="1"/>
  <c r="X222" i="1"/>
  <c r="Y222" i="1"/>
  <c r="P223" i="1"/>
  <c r="Q223" i="1"/>
  <c r="R223" i="1"/>
  <c r="T223" i="1"/>
  <c r="S223" i="1" s="1"/>
  <c r="U223" i="1"/>
  <c r="V223" i="1"/>
  <c r="W223" i="1"/>
  <c r="X223" i="1"/>
  <c r="Y223" i="1"/>
  <c r="N224" i="1"/>
  <c r="O224" i="1"/>
  <c r="P224" i="1"/>
  <c r="Q224" i="1"/>
  <c r="R224" i="1"/>
  <c r="T224" i="1"/>
  <c r="U224" i="1"/>
  <c r="S224" i="1" s="1"/>
  <c r="V224" i="1"/>
  <c r="W224" i="1"/>
  <c r="X224" i="1"/>
  <c r="Y224" i="1"/>
  <c r="P225" i="1"/>
  <c r="Q225" i="1"/>
  <c r="R225" i="1"/>
  <c r="T225" i="1"/>
  <c r="U225" i="1"/>
  <c r="S225" i="1" s="1"/>
  <c r="V225" i="1"/>
  <c r="W225" i="1"/>
  <c r="X225" i="1"/>
  <c r="Y225" i="1"/>
  <c r="P226" i="1"/>
  <c r="Q226" i="1"/>
  <c r="R226" i="1"/>
  <c r="T226" i="1"/>
  <c r="S226" i="1" s="1"/>
  <c r="U226" i="1"/>
  <c r="V226" i="1"/>
  <c r="W226" i="1"/>
  <c r="X226" i="1"/>
  <c r="Y226" i="1"/>
  <c r="P227" i="1"/>
  <c r="Q227" i="1"/>
  <c r="R227" i="1"/>
  <c r="T227" i="1"/>
  <c r="U227" i="1"/>
  <c r="V227" i="1"/>
  <c r="S227" i="1" s="1"/>
  <c r="W227" i="1"/>
  <c r="X227" i="1"/>
  <c r="Y227" i="1"/>
  <c r="P228" i="1"/>
  <c r="Q228" i="1"/>
  <c r="R228" i="1"/>
  <c r="T228" i="1"/>
  <c r="S228" i="1" s="1"/>
  <c r="U228" i="1"/>
  <c r="V228" i="1"/>
  <c r="W228" i="1"/>
  <c r="X228" i="1"/>
  <c r="Y228" i="1"/>
  <c r="P229" i="1"/>
  <c r="Q229" i="1"/>
  <c r="R229" i="1"/>
  <c r="T229" i="1"/>
  <c r="S229" i="1" s="1"/>
  <c r="U229" i="1"/>
  <c r="V229" i="1"/>
  <c r="W229" i="1"/>
  <c r="X229" i="1"/>
  <c r="Y229" i="1"/>
  <c r="P230" i="1"/>
  <c r="Q230" i="1"/>
  <c r="R230" i="1"/>
  <c r="T230" i="1"/>
  <c r="S230" i="1" s="1"/>
  <c r="U230" i="1"/>
  <c r="V230" i="1"/>
  <c r="W230" i="1"/>
  <c r="X230" i="1"/>
  <c r="Y230" i="1"/>
  <c r="P231" i="1"/>
  <c r="Q231" i="1"/>
  <c r="R231" i="1"/>
  <c r="T231" i="1"/>
  <c r="S231" i="1" s="1"/>
  <c r="U231" i="1"/>
  <c r="V231" i="1"/>
  <c r="W231" i="1"/>
  <c r="X231" i="1"/>
  <c r="Y231" i="1"/>
  <c r="N232" i="1"/>
  <c r="P232" i="1"/>
  <c r="O232" i="1" s="1"/>
  <c r="Q232" i="1"/>
  <c r="R232" i="1"/>
  <c r="T232" i="1"/>
  <c r="U232" i="1"/>
  <c r="S232" i="1" s="1"/>
  <c r="V232" i="1"/>
  <c r="W232" i="1"/>
  <c r="X232" i="1"/>
  <c r="Y232" i="1"/>
  <c r="P233" i="1"/>
  <c r="Q233" i="1"/>
  <c r="R233" i="1"/>
  <c r="T233" i="1"/>
  <c r="S233" i="1" s="1"/>
  <c r="U233" i="1"/>
  <c r="V233" i="1"/>
  <c r="W233" i="1"/>
  <c r="X233" i="1"/>
  <c r="Y233" i="1"/>
  <c r="P234" i="1"/>
  <c r="Q234" i="1"/>
  <c r="R234" i="1"/>
  <c r="T234" i="1"/>
  <c r="S234" i="1" s="1"/>
  <c r="U234" i="1"/>
  <c r="V234" i="1"/>
  <c r="W234" i="1"/>
  <c r="X234" i="1"/>
  <c r="Y234" i="1"/>
  <c r="P235" i="1"/>
  <c r="Q235" i="1"/>
  <c r="R235" i="1"/>
  <c r="T235" i="1"/>
  <c r="S235" i="1" s="1"/>
  <c r="U235" i="1"/>
  <c r="V235" i="1"/>
  <c r="W235" i="1"/>
  <c r="X235" i="1"/>
  <c r="Y235" i="1"/>
  <c r="P236" i="1"/>
  <c r="Q236" i="1"/>
  <c r="R236" i="1"/>
  <c r="T236" i="1"/>
  <c r="S236" i="1" s="1"/>
  <c r="U236" i="1"/>
  <c r="V236" i="1"/>
  <c r="W236" i="1"/>
  <c r="X236" i="1"/>
  <c r="Y236" i="1"/>
  <c r="P237" i="1"/>
  <c r="Q237" i="1"/>
  <c r="R237" i="1"/>
  <c r="T237" i="1"/>
  <c r="S237" i="1" s="1"/>
  <c r="U237" i="1"/>
  <c r="V237" i="1"/>
  <c r="W237" i="1"/>
  <c r="X237" i="1"/>
  <c r="Y237" i="1"/>
  <c r="P238" i="1"/>
  <c r="Q238" i="1"/>
  <c r="R238" i="1"/>
  <c r="T238" i="1"/>
  <c r="S238" i="1" s="1"/>
  <c r="U238" i="1"/>
  <c r="V238" i="1"/>
  <c r="W238" i="1"/>
  <c r="X238" i="1"/>
  <c r="Y238" i="1"/>
  <c r="P239" i="1"/>
  <c r="Q239" i="1"/>
  <c r="R239" i="1"/>
  <c r="M239" i="1" s="1"/>
  <c r="S239" i="1"/>
  <c r="T239" i="1"/>
  <c r="U239" i="1"/>
  <c r="V239" i="1"/>
  <c r="W239" i="1"/>
  <c r="X239" i="1"/>
  <c r="Y239" i="1"/>
  <c r="N240" i="1"/>
  <c r="P240" i="1"/>
  <c r="O240" i="1" s="1"/>
  <c r="Q240" i="1"/>
  <c r="R240" i="1"/>
  <c r="T240" i="1"/>
  <c r="S240" i="1" s="1"/>
  <c r="U240" i="1"/>
  <c r="V240" i="1"/>
  <c r="W240" i="1"/>
  <c r="X240" i="1"/>
  <c r="Y240" i="1"/>
  <c r="P241" i="1"/>
  <c r="Q241" i="1"/>
  <c r="R241" i="1"/>
  <c r="M241" i="1" s="1"/>
  <c r="T241" i="1"/>
  <c r="S241" i="1" s="1"/>
  <c r="U241" i="1"/>
  <c r="V241" i="1"/>
  <c r="W241" i="1"/>
  <c r="X241" i="1"/>
  <c r="Y241" i="1"/>
  <c r="P242" i="1"/>
  <c r="Q242" i="1"/>
  <c r="R242" i="1"/>
  <c r="T242" i="1"/>
  <c r="S242" i="1" s="1"/>
  <c r="U242" i="1"/>
  <c r="V242" i="1"/>
  <c r="W242" i="1"/>
  <c r="X242" i="1"/>
  <c r="Y242" i="1"/>
  <c r="P243" i="1"/>
  <c r="Q243" i="1"/>
  <c r="R243" i="1"/>
  <c r="T243" i="1"/>
  <c r="S243" i="1" s="1"/>
  <c r="U243" i="1"/>
  <c r="V243" i="1"/>
  <c r="W243" i="1"/>
  <c r="X243" i="1"/>
  <c r="Y243" i="1"/>
  <c r="P244" i="1"/>
  <c r="Q244" i="1"/>
  <c r="R244" i="1"/>
  <c r="T244" i="1"/>
  <c r="S244" i="1" s="1"/>
  <c r="U244" i="1"/>
  <c r="V244" i="1"/>
  <c r="W244" i="1"/>
  <c r="X244" i="1"/>
  <c r="Y244" i="1"/>
  <c r="O245" i="1"/>
  <c r="P245" i="1"/>
  <c r="N245" i="1" s="1"/>
  <c r="Q245" i="1"/>
  <c r="R245" i="1"/>
  <c r="T245" i="1"/>
  <c r="S245" i="1" s="1"/>
  <c r="M245" i="1" s="1"/>
  <c r="U245" i="1"/>
  <c r="V245" i="1"/>
  <c r="W245" i="1"/>
  <c r="X245" i="1"/>
  <c r="Y245" i="1"/>
  <c r="P246" i="1"/>
  <c r="Q246" i="1"/>
  <c r="R246" i="1"/>
  <c r="T246" i="1"/>
  <c r="S246" i="1" s="1"/>
  <c r="U246" i="1"/>
  <c r="V246" i="1"/>
  <c r="W246" i="1"/>
  <c r="X246" i="1"/>
  <c r="Y246" i="1"/>
  <c r="P247" i="1"/>
  <c r="Q247" i="1"/>
  <c r="R247" i="1"/>
  <c r="T247" i="1"/>
  <c r="S247" i="1" s="1"/>
  <c r="U247" i="1"/>
  <c r="V247" i="1"/>
  <c r="W247" i="1"/>
  <c r="X247" i="1"/>
  <c r="Y247" i="1"/>
  <c r="P248" i="1"/>
  <c r="Q248" i="1"/>
  <c r="R248" i="1"/>
  <c r="T248" i="1"/>
  <c r="S248" i="1" s="1"/>
  <c r="U248" i="1"/>
  <c r="V248" i="1"/>
  <c r="W248" i="1"/>
  <c r="X248" i="1"/>
  <c r="Y248" i="1"/>
  <c r="P249" i="1"/>
  <c r="Q249" i="1"/>
  <c r="R249" i="1"/>
  <c r="T249" i="1"/>
  <c r="S249" i="1" s="1"/>
  <c r="U249" i="1"/>
  <c r="V249" i="1"/>
  <c r="W249" i="1"/>
  <c r="X249" i="1"/>
  <c r="Y249" i="1"/>
  <c r="P250" i="1"/>
  <c r="Q250" i="1"/>
  <c r="R250" i="1"/>
  <c r="T250" i="1"/>
  <c r="S250" i="1" s="1"/>
  <c r="U250" i="1"/>
  <c r="V250" i="1"/>
  <c r="W250" i="1"/>
  <c r="X250" i="1"/>
  <c r="Y250" i="1"/>
  <c r="P251" i="1"/>
  <c r="Q251" i="1"/>
  <c r="R251" i="1"/>
  <c r="T251" i="1"/>
  <c r="S251" i="1" s="1"/>
  <c r="U251" i="1"/>
  <c r="V251" i="1"/>
  <c r="W251" i="1"/>
  <c r="X251" i="1"/>
  <c r="Y251" i="1"/>
  <c r="P252" i="1"/>
  <c r="Q252" i="1"/>
  <c r="R252" i="1"/>
  <c r="T252" i="1"/>
  <c r="S252" i="1" s="1"/>
  <c r="U252" i="1"/>
  <c r="V252" i="1"/>
  <c r="W252" i="1"/>
  <c r="X252" i="1"/>
  <c r="Y252" i="1"/>
  <c r="P253" i="1"/>
  <c r="Q253" i="1"/>
  <c r="R253" i="1"/>
  <c r="T253" i="1"/>
  <c r="S253" i="1" s="1"/>
  <c r="U253" i="1"/>
  <c r="V253" i="1"/>
  <c r="W253" i="1"/>
  <c r="X253" i="1"/>
  <c r="Y253" i="1"/>
  <c r="P254" i="1"/>
  <c r="Q254" i="1"/>
  <c r="R254" i="1"/>
  <c r="T254" i="1"/>
  <c r="S254" i="1" s="1"/>
  <c r="U254" i="1"/>
  <c r="V254" i="1"/>
  <c r="W254" i="1"/>
  <c r="X254" i="1"/>
  <c r="Y254" i="1"/>
  <c r="P255" i="1"/>
  <c r="Q255" i="1"/>
  <c r="R255" i="1"/>
  <c r="T255" i="1"/>
  <c r="S255" i="1" s="1"/>
  <c r="U255" i="1"/>
  <c r="V255" i="1"/>
  <c r="W255" i="1"/>
  <c r="X255" i="1"/>
  <c r="Y255" i="1"/>
  <c r="P256" i="1"/>
  <c r="Q256" i="1"/>
  <c r="R256" i="1"/>
  <c r="T256" i="1"/>
  <c r="S256" i="1" s="1"/>
  <c r="U256" i="1"/>
  <c r="V256" i="1"/>
  <c r="W256" i="1"/>
  <c r="X256" i="1"/>
  <c r="Y256" i="1"/>
  <c r="P257" i="1"/>
  <c r="Q257" i="1"/>
  <c r="R257" i="1"/>
  <c r="T257" i="1"/>
  <c r="S257" i="1" s="1"/>
  <c r="U257" i="1"/>
  <c r="V257" i="1"/>
  <c r="W257" i="1"/>
  <c r="X257" i="1"/>
  <c r="Y257" i="1"/>
  <c r="P258" i="1"/>
  <c r="Q258" i="1"/>
  <c r="R258" i="1"/>
  <c r="T258" i="1"/>
  <c r="S258" i="1" s="1"/>
  <c r="U258" i="1"/>
  <c r="V258" i="1"/>
  <c r="W258" i="1"/>
  <c r="X258" i="1"/>
  <c r="Y258" i="1"/>
  <c r="P259" i="1"/>
  <c r="Q259" i="1"/>
  <c r="R259" i="1"/>
  <c r="T259" i="1"/>
  <c r="S259" i="1" s="1"/>
  <c r="U259" i="1"/>
  <c r="V259" i="1"/>
  <c r="W259" i="1"/>
  <c r="X259" i="1"/>
  <c r="Y259" i="1"/>
  <c r="P260" i="1"/>
  <c r="Q260" i="1"/>
  <c r="R260" i="1"/>
  <c r="T260" i="1"/>
  <c r="S260" i="1" s="1"/>
  <c r="U260" i="1"/>
  <c r="V260" i="1"/>
  <c r="W260" i="1"/>
  <c r="X260" i="1"/>
  <c r="Y260" i="1"/>
  <c r="P261" i="1"/>
  <c r="Q261" i="1"/>
  <c r="R261" i="1"/>
  <c r="T261" i="1"/>
  <c r="S261" i="1" s="1"/>
  <c r="U261" i="1"/>
  <c r="V261" i="1"/>
  <c r="W261" i="1"/>
  <c r="X261" i="1"/>
  <c r="Y261" i="1"/>
  <c r="P262" i="1"/>
  <c r="Q262" i="1"/>
  <c r="R262" i="1"/>
  <c r="T262" i="1"/>
  <c r="S262" i="1" s="1"/>
  <c r="U262" i="1"/>
  <c r="V262" i="1"/>
  <c r="W262" i="1"/>
  <c r="X262" i="1"/>
  <c r="Y262" i="1"/>
  <c r="P263" i="1"/>
  <c r="Q263" i="1"/>
  <c r="R263" i="1"/>
  <c r="T263" i="1"/>
  <c r="S263" i="1" s="1"/>
  <c r="U263" i="1"/>
  <c r="V263" i="1"/>
  <c r="W263" i="1"/>
  <c r="X263" i="1"/>
  <c r="Y263" i="1"/>
  <c r="P264" i="1"/>
  <c r="Q264" i="1"/>
  <c r="R264" i="1"/>
  <c r="T264" i="1"/>
  <c r="S264" i="1" s="1"/>
  <c r="U264" i="1"/>
  <c r="V264" i="1"/>
  <c r="W264" i="1"/>
  <c r="X264" i="1"/>
  <c r="Y264" i="1"/>
  <c r="P265" i="1"/>
  <c r="Q265" i="1"/>
  <c r="R265" i="1"/>
  <c r="T265" i="1"/>
  <c r="S265" i="1" s="1"/>
  <c r="U265" i="1"/>
  <c r="V265" i="1"/>
  <c r="W265" i="1"/>
  <c r="X265" i="1"/>
  <c r="Y265" i="1"/>
  <c r="P266" i="1"/>
  <c r="Q266" i="1"/>
  <c r="R266" i="1"/>
  <c r="T266" i="1"/>
  <c r="S266" i="1" s="1"/>
  <c r="U266" i="1"/>
  <c r="V266" i="1"/>
  <c r="W266" i="1"/>
  <c r="X266" i="1"/>
  <c r="Y266" i="1"/>
  <c r="P267" i="1"/>
  <c r="Q267" i="1"/>
  <c r="R267" i="1"/>
  <c r="T267" i="1"/>
  <c r="S267" i="1" s="1"/>
  <c r="U267" i="1"/>
  <c r="V267" i="1"/>
  <c r="W267" i="1"/>
  <c r="X267" i="1"/>
  <c r="Y267" i="1"/>
  <c r="P268" i="1"/>
  <c r="Q268" i="1"/>
  <c r="R268" i="1"/>
  <c r="T268" i="1"/>
  <c r="S268" i="1" s="1"/>
  <c r="U268" i="1"/>
  <c r="V268" i="1"/>
  <c r="W268" i="1"/>
  <c r="X268" i="1"/>
  <c r="Y268" i="1"/>
  <c r="P269" i="1"/>
  <c r="Q269" i="1"/>
  <c r="R269" i="1"/>
  <c r="T269" i="1"/>
  <c r="S269" i="1" s="1"/>
  <c r="U269" i="1"/>
  <c r="V269" i="1"/>
  <c r="W269" i="1"/>
  <c r="X269" i="1"/>
  <c r="Y269" i="1"/>
  <c r="P270" i="1"/>
  <c r="Q270" i="1"/>
  <c r="R270" i="1"/>
  <c r="T270" i="1"/>
  <c r="S270" i="1" s="1"/>
  <c r="U270" i="1"/>
  <c r="V270" i="1"/>
  <c r="W270" i="1"/>
  <c r="X270" i="1"/>
  <c r="Y270" i="1"/>
  <c r="P271" i="1"/>
  <c r="Q271" i="1"/>
  <c r="R271" i="1"/>
  <c r="T271" i="1"/>
  <c r="S271" i="1" s="1"/>
  <c r="U271" i="1"/>
  <c r="V271" i="1"/>
  <c r="W271" i="1"/>
  <c r="X271" i="1"/>
  <c r="Y271" i="1"/>
  <c r="P272" i="1"/>
  <c r="Q272" i="1"/>
  <c r="R272" i="1"/>
  <c r="T272" i="1"/>
  <c r="S272" i="1" s="1"/>
  <c r="U272" i="1"/>
  <c r="V272" i="1"/>
  <c r="W272" i="1"/>
  <c r="X272" i="1"/>
  <c r="Y272" i="1"/>
  <c r="P273" i="1"/>
  <c r="Q273" i="1"/>
  <c r="R273" i="1"/>
  <c r="T273" i="1"/>
  <c r="S273" i="1" s="1"/>
  <c r="U273" i="1"/>
  <c r="V273" i="1"/>
  <c r="W273" i="1"/>
  <c r="X273" i="1"/>
  <c r="Y273" i="1"/>
  <c r="P274" i="1"/>
  <c r="Q274" i="1"/>
  <c r="R274" i="1"/>
  <c r="T274" i="1"/>
  <c r="S274" i="1" s="1"/>
  <c r="U274" i="1"/>
  <c r="V274" i="1"/>
  <c r="W274" i="1"/>
  <c r="X274" i="1"/>
  <c r="Y274" i="1"/>
  <c r="P275" i="1"/>
  <c r="Q275" i="1"/>
  <c r="R275" i="1"/>
  <c r="T275" i="1"/>
  <c r="S275" i="1" s="1"/>
  <c r="U275" i="1"/>
  <c r="V275" i="1"/>
  <c r="W275" i="1"/>
  <c r="X275" i="1"/>
  <c r="Y275" i="1"/>
  <c r="P276" i="1"/>
  <c r="Q276" i="1"/>
  <c r="R276" i="1"/>
  <c r="T276" i="1"/>
  <c r="S276" i="1" s="1"/>
  <c r="U276" i="1"/>
  <c r="V276" i="1"/>
  <c r="W276" i="1"/>
  <c r="X276" i="1"/>
  <c r="Y276" i="1"/>
  <c r="P277" i="1"/>
  <c r="Q277" i="1"/>
  <c r="R277" i="1"/>
  <c r="T277" i="1"/>
  <c r="S277" i="1" s="1"/>
  <c r="U277" i="1"/>
  <c r="V277" i="1"/>
  <c r="W277" i="1"/>
  <c r="X277" i="1"/>
  <c r="Y277" i="1"/>
  <c r="P278" i="1"/>
  <c r="Q278" i="1"/>
  <c r="R278" i="1"/>
  <c r="T278" i="1"/>
  <c r="S278" i="1" s="1"/>
  <c r="U278" i="1"/>
  <c r="V278" i="1"/>
  <c r="W278" i="1"/>
  <c r="X278" i="1"/>
  <c r="Y278" i="1"/>
  <c r="P279" i="1"/>
  <c r="Q279" i="1"/>
  <c r="R279" i="1"/>
  <c r="T279" i="1"/>
  <c r="S279" i="1" s="1"/>
  <c r="U279" i="1"/>
  <c r="V279" i="1"/>
  <c r="W279" i="1"/>
  <c r="X279" i="1"/>
  <c r="Y279" i="1"/>
  <c r="P280" i="1"/>
  <c r="Q280" i="1"/>
  <c r="R280" i="1"/>
  <c r="T280" i="1"/>
  <c r="S280" i="1" s="1"/>
  <c r="U280" i="1"/>
  <c r="V280" i="1"/>
  <c r="W280" i="1"/>
  <c r="X280" i="1"/>
  <c r="Y280" i="1"/>
  <c r="P281" i="1"/>
  <c r="Q281" i="1"/>
  <c r="R281" i="1"/>
  <c r="T281" i="1"/>
  <c r="S281" i="1" s="1"/>
  <c r="U281" i="1"/>
  <c r="V281" i="1"/>
  <c r="W281" i="1"/>
  <c r="X281" i="1"/>
  <c r="Y281" i="1"/>
  <c r="P282" i="1"/>
  <c r="Q282" i="1"/>
  <c r="R282" i="1"/>
  <c r="T282" i="1"/>
  <c r="S282" i="1" s="1"/>
  <c r="U282" i="1"/>
  <c r="V282" i="1"/>
  <c r="W282" i="1"/>
  <c r="X282" i="1"/>
  <c r="Y282" i="1"/>
  <c r="P283" i="1"/>
  <c r="Q283" i="1"/>
  <c r="R283" i="1"/>
  <c r="T283" i="1"/>
  <c r="S283" i="1" s="1"/>
  <c r="U283" i="1"/>
  <c r="V283" i="1"/>
  <c r="W283" i="1"/>
  <c r="X283" i="1"/>
  <c r="Y283" i="1"/>
  <c r="P284" i="1"/>
  <c r="Q284" i="1"/>
  <c r="R284" i="1"/>
  <c r="T284" i="1"/>
  <c r="S284" i="1" s="1"/>
  <c r="U284" i="1"/>
  <c r="V284" i="1"/>
  <c r="W284" i="1"/>
  <c r="X284" i="1"/>
  <c r="Y284" i="1"/>
  <c r="P285" i="1"/>
  <c r="Q285" i="1"/>
  <c r="R285" i="1"/>
  <c r="T285" i="1"/>
  <c r="U285" i="1"/>
  <c r="V285" i="1"/>
  <c r="W285" i="1"/>
  <c r="S285" i="1" s="1"/>
  <c r="X285" i="1"/>
  <c r="Y285" i="1"/>
  <c r="P286" i="1"/>
  <c r="Q286" i="1"/>
  <c r="R286" i="1"/>
  <c r="T286" i="1"/>
  <c r="U286" i="1"/>
  <c r="S286" i="1" s="1"/>
  <c r="V286" i="1"/>
  <c r="W286" i="1"/>
  <c r="X286" i="1"/>
  <c r="Y286" i="1"/>
  <c r="P287" i="1"/>
  <c r="Q287" i="1"/>
  <c r="R287" i="1"/>
  <c r="T287" i="1"/>
  <c r="S287" i="1" s="1"/>
  <c r="U287" i="1"/>
  <c r="V287" i="1"/>
  <c r="W287" i="1"/>
  <c r="X287" i="1"/>
  <c r="Y287" i="1"/>
  <c r="P288" i="1"/>
  <c r="Q288" i="1"/>
  <c r="R288" i="1"/>
  <c r="T288" i="1"/>
  <c r="S288" i="1" s="1"/>
  <c r="U288" i="1"/>
  <c r="V288" i="1"/>
  <c r="W288" i="1"/>
  <c r="X288" i="1"/>
  <c r="Y288" i="1"/>
  <c r="P289" i="1"/>
  <c r="Q289" i="1"/>
  <c r="R289" i="1"/>
  <c r="T289" i="1"/>
  <c r="S289" i="1" s="1"/>
  <c r="U289" i="1"/>
  <c r="V289" i="1"/>
  <c r="W289" i="1"/>
  <c r="X289" i="1"/>
  <c r="Y289" i="1"/>
  <c r="P290" i="1"/>
  <c r="Q290" i="1"/>
  <c r="R290" i="1"/>
  <c r="T290" i="1"/>
  <c r="S290" i="1" s="1"/>
  <c r="U290" i="1"/>
  <c r="V290" i="1"/>
  <c r="W290" i="1"/>
  <c r="X290" i="1"/>
  <c r="Y290" i="1"/>
  <c r="P291" i="1"/>
  <c r="Q291" i="1"/>
  <c r="R291" i="1"/>
  <c r="T291" i="1"/>
  <c r="U291" i="1"/>
  <c r="S291" i="1" s="1"/>
  <c r="V291" i="1"/>
  <c r="W291" i="1"/>
  <c r="X291" i="1"/>
  <c r="Y291" i="1"/>
  <c r="P292" i="1"/>
  <c r="Q292" i="1"/>
  <c r="R292" i="1"/>
  <c r="T292" i="1"/>
  <c r="S292" i="1" s="1"/>
  <c r="U292" i="1"/>
  <c r="V292" i="1"/>
  <c r="W292" i="1"/>
  <c r="X292" i="1"/>
  <c r="Y292" i="1"/>
  <c r="P293" i="1"/>
  <c r="Q293" i="1"/>
  <c r="R293" i="1"/>
  <c r="T293" i="1"/>
  <c r="U293" i="1"/>
  <c r="S293" i="1" s="1"/>
  <c r="V293" i="1"/>
  <c r="W293" i="1"/>
  <c r="X293" i="1"/>
  <c r="Y293" i="1"/>
  <c r="P294" i="1"/>
  <c r="Q294" i="1"/>
  <c r="R294" i="1"/>
  <c r="T294" i="1"/>
  <c r="S294" i="1" s="1"/>
  <c r="U294" i="1"/>
  <c r="V294" i="1"/>
  <c r="W294" i="1"/>
  <c r="X294" i="1"/>
  <c r="Y294" i="1"/>
  <c r="P295" i="1"/>
  <c r="Q295" i="1"/>
  <c r="R295" i="1"/>
  <c r="T295" i="1"/>
  <c r="S295" i="1" s="1"/>
  <c r="U295" i="1"/>
  <c r="V295" i="1"/>
  <c r="W295" i="1"/>
  <c r="X295" i="1"/>
  <c r="Y295" i="1"/>
  <c r="P296" i="1"/>
  <c r="Q296" i="1"/>
  <c r="R296" i="1"/>
  <c r="M296" i="1" s="1"/>
  <c r="S296" i="1"/>
  <c r="T296" i="1"/>
  <c r="U296" i="1"/>
  <c r="V296" i="1"/>
  <c r="W296" i="1"/>
  <c r="X296" i="1"/>
  <c r="Y296" i="1"/>
  <c r="P297" i="1"/>
  <c r="Q297" i="1"/>
  <c r="R297" i="1"/>
  <c r="T297" i="1"/>
  <c r="S297" i="1" s="1"/>
  <c r="U297" i="1"/>
  <c r="V297" i="1"/>
  <c r="W297" i="1"/>
  <c r="X297" i="1"/>
  <c r="Y297" i="1"/>
  <c r="P298" i="1"/>
  <c r="Q298" i="1"/>
  <c r="R298" i="1"/>
  <c r="T298" i="1"/>
  <c r="U298" i="1"/>
  <c r="S298" i="1" s="1"/>
  <c r="V298" i="1"/>
  <c r="W298" i="1"/>
  <c r="X298" i="1"/>
  <c r="Y298" i="1"/>
  <c r="O299" i="1"/>
  <c r="P299" i="1"/>
  <c r="N299" i="1" s="1"/>
  <c r="Q299" i="1"/>
  <c r="R299" i="1"/>
  <c r="T299" i="1"/>
  <c r="U299" i="1"/>
  <c r="S299" i="1" s="1"/>
  <c r="V299" i="1"/>
  <c r="W299" i="1"/>
  <c r="X299" i="1"/>
  <c r="Y299" i="1"/>
  <c r="O300" i="1"/>
  <c r="P300" i="1"/>
  <c r="N300" i="1" s="1"/>
  <c r="Q300" i="1"/>
  <c r="R300" i="1"/>
  <c r="T300" i="1"/>
  <c r="U300" i="1"/>
  <c r="S300" i="1" s="1"/>
  <c r="M300" i="1" s="1"/>
  <c r="V300" i="1"/>
  <c r="W300" i="1"/>
  <c r="X300" i="1"/>
  <c r="Y300" i="1"/>
  <c r="P301" i="1"/>
  <c r="Q301" i="1"/>
  <c r="R301" i="1"/>
  <c r="T301" i="1"/>
  <c r="S301" i="1" s="1"/>
  <c r="U301" i="1"/>
  <c r="V301" i="1"/>
  <c r="W301" i="1"/>
  <c r="X301" i="1"/>
  <c r="Y301" i="1"/>
  <c r="P302" i="1"/>
  <c r="Q302" i="1"/>
  <c r="R302" i="1"/>
  <c r="T302" i="1"/>
  <c r="S302" i="1" s="1"/>
  <c r="U302" i="1"/>
  <c r="V302" i="1"/>
  <c r="W302" i="1"/>
  <c r="X302" i="1"/>
  <c r="Y302" i="1"/>
  <c r="P303" i="1"/>
  <c r="Q303" i="1"/>
  <c r="R303" i="1"/>
  <c r="T303" i="1"/>
  <c r="S303" i="1" s="1"/>
  <c r="U303" i="1"/>
  <c r="V303" i="1"/>
  <c r="W303" i="1"/>
  <c r="X303" i="1"/>
  <c r="Y303" i="1"/>
  <c r="P304" i="1"/>
  <c r="Q304" i="1"/>
  <c r="R304" i="1"/>
  <c r="T304" i="1"/>
  <c r="S304" i="1" s="1"/>
  <c r="U304" i="1"/>
  <c r="V304" i="1"/>
  <c r="W304" i="1"/>
  <c r="X304" i="1"/>
  <c r="Y304" i="1"/>
  <c r="P305" i="1"/>
  <c r="Q305" i="1"/>
  <c r="R305" i="1"/>
  <c r="T305" i="1"/>
  <c r="U305" i="1"/>
  <c r="V305" i="1"/>
  <c r="W305" i="1"/>
  <c r="S305" i="1" s="1"/>
  <c r="X305" i="1"/>
  <c r="Y305" i="1"/>
  <c r="P306" i="1"/>
  <c r="Q306" i="1"/>
  <c r="R306" i="1"/>
  <c r="T306" i="1"/>
  <c r="S306" i="1" s="1"/>
  <c r="U306" i="1"/>
  <c r="V306" i="1"/>
  <c r="W306" i="1"/>
  <c r="X306" i="1"/>
  <c r="Y306" i="1"/>
  <c r="P307" i="1"/>
  <c r="Q307" i="1"/>
  <c r="R307" i="1"/>
  <c r="T307" i="1"/>
  <c r="U307" i="1"/>
  <c r="S307" i="1" s="1"/>
  <c r="V307" i="1"/>
  <c r="W307" i="1"/>
  <c r="X307" i="1"/>
  <c r="Y307" i="1"/>
  <c r="P308" i="1"/>
  <c r="Q308" i="1"/>
  <c r="R308" i="1"/>
  <c r="T308" i="1"/>
  <c r="S308" i="1" s="1"/>
  <c r="U308" i="1"/>
  <c r="V308" i="1"/>
  <c r="W308" i="1"/>
  <c r="X308" i="1"/>
  <c r="Y308" i="1"/>
  <c r="P309" i="1"/>
  <c r="Q309" i="1"/>
  <c r="R309" i="1"/>
  <c r="T309" i="1"/>
  <c r="U309" i="1"/>
  <c r="S309" i="1" s="1"/>
  <c r="V309" i="1"/>
  <c r="W309" i="1"/>
  <c r="X309" i="1"/>
  <c r="Y309" i="1"/>
  <c r="P310" i="1"/>
  <c r="Q310" i="1"/>
  <c r="R310" i="1"/>
  <c r="T310" i="1"/>
  <c r="U310" i="1"/>
  <c r="S310" i="1" s="1"/>
  <c r="M310" i="1" s="1"/>
  <c r="V310" i="1"/>
  <c r="W310" i="1"/>
  <c r="X310" i="1"/>
  <c r="Y310" i="1"/>
  <c r="P311" i="1"/>
  <c r="Q311" i="1"/>
  <c r="R311" i="1"/>
  <c r="T311" i="1"/>
  <c r="U311" i="1"/>
  <c r="S311" i="1" s="1"/>
  <c r="V311" i="1"/>
  <c r="W311" i="1"/>
  <c r="X311" i="1"/>
  <c r="Y311" i="1"/>
  <c r="P312" i="1"/>
  <c r="Q312" i="1"/>
  <c r="R312" i="1"/>
  <c r="T312" i="1"/>
  <c r="U312" i="1"/>
  <c r="S312" i="1" s="1"/>
  <c r="V312" i="1"/>
  <c r="W312" i="1"/>
  <c r="X312" i="1"/>
  <c r="Y312" i="1"/>
  <c r="P313" i="1"/>
  <c r="Q313" i="1"/>
  <c r="R313" i="1"/>
  <c r="T313" i="1"/>
  <c r="U313" i="1"/>
  <c r="V313" i="1"/>
  <c r="W313" i="1"/>
  <c r="X313" i="1"/>
  <c r="S313" i="1" s="1"/>
  <c r="Y313" i="1"/>
  <c r="P314" i="1"/>
  <c r="Q314" i="1"/>
  <c r="R314" i="1"/>
  <c r="T314" i="1"/>
  <c r="U314" i="1"/>
  <c r="V314" i="1"/>
  <c r="W314" i="1"/>
  <c r="S314" i="1" s="1"/>
  <c r="X314" i="1"/>
  <c r="Y314" i="1"/>
  <c r="P315" i="1"/>
  <c r="Q315" i="1"/>
  <c r="R315" i="1"/>
  <c r="T315" i="1"/>
  <c r="S315" i="1" s="1"/>
  <c r="U315" i="1"/>
  <c r="V315" i="1"/>
  <c r="W315" i="1"/>
  <c r="X315" i="1"/>
  <c r="Y315" i="1"/>
  <c r="P316" i="1"/>
  <c r="Q316" i="1"/>
  <c r="R316" i="1"/>
  <c r="T316" i="1"/>
  <c r="U316" i="1"/>
  <c r="V316" i="1"/>
  <c r="W316" i="1"/>
  <c r="S316" i="1" s="1"/>
  <c r="X316" i="1"/>
  <c r="Y316" i="1"/>
  <c r="P317" i="1"/>
  <c r="Q317" i="1"/>
  <c r="R317" i="1"/>
  <c r="T317" i="1"/>
  <c r="S317" i="1" s="1"/>
  <c r="U317" i="1"/>
  <c r="V317" i="1"/>
  <c r="W317" i="1"/>
  <c r="X317" i="1"/>
  <c r="Y317" i="1"/>
  <c r="P318" i="1"/>
  <c r="Q318" i="1"/>
  <c r="R318" i="1"/>
  <c r="T318" i="1"/>
  <c r="S318" i="1" s="1"/>
  <c r="M318" i="1" s="1"/>
  <c r="U318" i="1"/>
  <c r="V318" i="1"/>
  <c r="W318" i="1"/>
  <c r="X318" i="1"/>
  <c r="Y318" i="1"/>
  <c r="P319" i="1"/>
  <c r="Q319" i="1"/>
  <c r="R319" i="1"/>
  <c r="T319" i="1"/>
  <c r="S319" i="1" s="1"/>
  <c r="U319" i="1"/>
  <c r="V319" i="1"/>
  <c r="W319" i="1"/>
  <c r="X319" i="1"/>
  <c r="Y319" i="1"/>
  <c r="P320" i="1"/>
  <c r="Q320" i="1"/>
  <c r="R320" i="1"/>
  <c r="T320" i="1"/>
  <c r="S320" i="1" s="1"/>
  <c r="U320" i="1"/>
  <c r="V320" i="1"/>
  <c r="W320" i="1"/>
  <c r="X320" i="1"/>
  <c r="Y320" i="1"/>
  <c r="P321" i="1"/>
  <c r="Q321" i="1"/>
  <c r="R321" i="1"/>
  <c r="T321" i="1"/>
  <c r="U321" i="1"/>
  <c r="S321" i="1" s="1"/>
  <c r="V321" i="1"/>
  <c r="W321" i="1"/>
  <c r="X321" i="1"/>
  <c r="Y321" i="1"/>
  <c r="P322" i="1"/>
  <c r="Q322" i="1"/>
  <c r="R322" i="1"/>
  <c r="T322" i="1"/>
  <c r="S322" i="1" s="1"/>
  <c r="U322" i="1"/>
  <c r="V322" i="1"/>
  <c r="W322" i="1"/>
  <c r="X322" i="1"/>
  <c r="Y322" i="1"/>
  <c r="P323" i="1"/>
  <c r="Q323" i="1"/>
  <c r="R323" i="1"/>
  <c r="T323" i="1"/>
  <c r="U323" i="1"/>
  <c r="V323" i="1"/>
  <c r="W323" i="1"/>
  <c r="X323" i="1"/>
  <c r="Y323" i="1"/>
  <c r="P324" i="1"/>
  <c r="Q324" i="1"/>
  <c r="R324" i="1"/>
  <c r="T324" i="1"/>
  <c r="U324" i="1"/>
  <c r="V324" i="1"/>
  <c r="W324" i="1"/>
  <c r="X324" i="1"/>
  <c r="Y324" i="1"/>
  <c r="P325" i="1"/>
  <c r="Q325" i="1"/>
  <c r="R325" i="1"/>
  <c r="T325" i="1"/>
  <c r="U325" i="1"/>
  <c r="V325" i="1"/>
  <c r="W325" i="1"/>
  <c r="X325" i="1"/>
  <c r="Y325" i="1"/>
  <c r="P326" i="1"/>
  <c r="Q326" i="1"/>
  <c r="R326" i="1"/>
  <c r="T326" i="1"/>
  <c r="U326" i="1"/>
  <c r="V326" i="1"/>
  <c r="W326" i="1"/>
  <c r="X326" i="1"/>
  <c r="Y326" i="1"/>
  <c r="P327" i="1"/>
  <c r="Q327" i="1"/>
  <c r="R327" i="1"/>
  <c r="T327" i="1"/>
  <c r="U327" i="1"/>
  <c r="V327" i="1"/>
  <c r="W327" i="1"/>
  <c r="X327" i="1"/>
  <c r="Y327" i="1"/>
  <c r="P328" i="1"/>
  <c r="Q328" i="1"/>
  <c r="R328" i="1"/>
  <c r="T328" i="1"/>
  <c r="U328" i="1"/>
  <c r="V328" i="1"/>
  <c r="W328" i="1"/>
  <c r="X328" i="1"/>
  <c r="Y328" i="1"/>
  <c r="P2" i="1"/>
  <c r="Y2" i="1"/>
  <c r="X2" i="1"/>
  <c r="W2" i="1"/>
  <c r="V2" i="1"/>
  <c r="U2" i="1"/>
  <c r="T2" i="1"/>
  <c r="S2" i="1"/>
  <c r="R2" i="1"/>
  <c r="Q2" i="1"/>
  <c r="N3" i="1" l="1"/>
  <c r="O3" i="1"/>
  <c r="M3" i="1" s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O13" i="1"/>
  <c r="N13" i="1"/>
  <c r="N14" i="1"/>
  <c r="O14" i="1"/>
  <c r="N15" i="1"/>
  <c r="O15" i="1"/>
  <c r="N16" i="1"/>
  <c r="O16" i="1"/>
  <c r="N17" i="1"/>
  <c r="O17" i="1"/>
  <c r="O18" i="1"/>
  <c r="N18" i="1"/>
  <c r="N19" i="1"/>
  <c r="O19" i="1"/>
  <c r="N20" i="1"/>
  <c r="O20" i="1"/>
  <c r="N21" i="1"/>
  <c r="O21" i="1"/>
  <c r="N22" i="1"/>
  <c r="O22" i="1"/>
  <c r="N23" i="1"/>
  <c r="O23" i="1"/>
  <c r="N24" i="1"/>
  <c r="O24" i="1"/>
  <c r="O25" i="1"/>
  <c r="N25" i="1"/>
  <c r="O26" i="1"/>
  <c r="N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M34" i="1" s="1"/>
  <c r="O35" i="1"/>
  <c r="N35" i="1"/>
  <c r="O36" i="1"/>
  <c r="N36" i="1"/>
  <c r="N37" i="1"/>
  <c r="O37" i="1"/>
  <c r="N38" i="1"/>
  <c r="O38" i="1"/>
  <c r="N39" i="1"/>
  <c r="O39" i="1"/>
  <c r="O40" i="1"/>
  <c r="N40" i="1"/>
  <c r="O41" i="1"/>
  <c r="N41" i="1"/>
  <c r="N42" i="1"/>
  <c r="O42" i="1"/>
  <c r="N43" i="1"/>
  <c r="O43" i="1"/>
  <c r="N44" i="1"/>
  <c r="O44" i="1"/>
  <c r="N45" i="1"/>
  <c r="O45" i="1"/>
  <c r="O46" i="1"/>
  <c r="N46" i="1"/>
  <c r="O47" i="1"/>
  <c r="N47" i="1"/>
  <c r="O48" i="1"/>
  <c r="N48" i="1"/>
  <c r="O49" i="1"/>
  <c r="N49" i="1"/>
  <c r="O50" i="1"/>
  <c r="N50" i="1"/>
  <c r="O51" i="1"/>
  <c r="N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O59" i="1"/>
  <c r="N59" i="1"/>
  <c r="O60" i="1"/>
  <c r="N60" i="1"/>
  <c r="O61" i="1"/>
  <c r="N61" i="1"/>
  <c r="N62" i="1"/>
  <c r="O62" i="1"/>
  <c r="N63" i="1"/>
  <c r="O63" i="1"/>
  <c r="N64" i="1"/>
  <c r="O64" i="1"/>
  <c r="O65" i="1"/>
  <c r="N65" i="1"/>
  <c r="O66" i="1"/>
  <c r="M66" i="1" s="1"/>
  <c r="N66" i="1"/>
  <c r="N67" i="1"/>
  <c r="O67" i="1"/>
  <c r="N68" i="1"/>
  <c r="O68" i="1"/>
  <c r="N69" i="1"/>
  <c r="O69" i="1"/>
  <c r="O70" i="1"/>
  <c r="N70" i="1"/>
  <c r="O71" i="1"/>
  <c r="N71" i="1"/>
  <c r="N72" i="1"/>
  <c r="O72" i="1"/>
  <c r="O73" i="1"/>
  <c r="N73" i="1"/>
  <c r="N74" i="1"/>
  <c r="O74" i="1"/>
  <c r="O75" i="1"/>
  <c r="N75" i="1"/>
  <c r="O76" i="1"/>
  <c r="N76" i="1"/>
  <c r="O77" i="1"/>
  <c r="N77" i="1"/>
  <c r="O78" i="1"/>
  <c r="N78" i="1"/>
  <c r="O79" i="1"/>
  <c r="N79" i="1"/>
  <c r="O80" i="1"/>
  <c r="N80" i="1"/>
  <c r="O81" i="1"/>
  <c r="N81" i="1"/>
  <c r="N82" i="1"/>
  <c r="O82" i="1"/>
  <c r="O83" i="1"/>
  <c r="N83" i="1"/>
  <c r="O85" i="1"/>
  <c r="N85" i="1"/>
  <c r="N86" i="1"/>
  <c r="O86" i="1"/>
  <c r="N87" i="1"/>
  <c r="O87" i="1"/>
  <c r="M87" i="1" s="1"/>
  <c r="O88" i="1"/>
  <c r="N88" i="1"/>
  <c r="N89" i="1"/>
  <c r="O89" i="1"/>
  <c r="N90" i="1"/>
  <c r="O90" i="1"/>
  <c r="O91" i="1"/>
  <c r="N91" i="1"/>
  <c r="O92" i="1"/>
  <c r="N92" i="1"/>
  <c r="N93" i="1"/>
  <c r="O93" i="1"/>
  <c r="N94" i="1"/>
  <c r="O94" i="1"/>
  <c r="O96" i="1"/>
  <c r="N96" i="1"/>
  <c r="O97" i="1"/>
  <c r="N97" i="1"/>
  <c r="O98" i="1"/>
  <c r="N98" i="1"/>
  <c r="O99" i="1"/>
  <c r="N99" i="1"/>
  <c r="N100" i="1"/>
  <c r="O100" i="1"/>
  <c r="O101" i="1"/>
  <c r="N101" i="1"/>
  <c r="O102" i="1"/>
  <c r="N102" i="1"/>
  <c r="N103" i="1"/>
  <c r="O103" i="1"/>
  <c r="N104" i="1"/>
  <c r="O104" i="1"/>
  <c r="N105" i="1"/>
  <c r="O105" i="1"/>
  <c r="N106" i="1"/>
  <c r="O106" i="1"/>
  <c r="O107" i="1"/>
  <c r="N107" i="1"/>
  <c r="N108" i="1"/>
  <c r="O108" i="1"/>
  <c r="M108" i="1" s="1"/>
  <c r="N109" i="1"/>
  <c r="O109" i="1"/>
  <c r="N110" i="1"/>
  <c r="O110" i="1"/>
  <c r="O111" i="1"/>
  <c r="N111" i="1"/>
  <c r="N112" i="1"/>
  <c r="O112" i="1"/>
  <c r="N113" i="1"/>
  <c r="O113" i="1"/>
  <c r="O114" i="1"/>
  <c r="N114" i="1"/>
  <c r="N115" i="1"/>
  <c r="O115" i="1"/>
  <c r="N116" i="1"/>
  <c r="O116" i="1"/>
  <c r="O117" i="1"/>
  <c r="N117" i="1"/>
  <c r="O118" i="1"/>
  <c r="N118" i="1"/>
  <c r="N119" i="1"/>
  <c r="O119" i="1"/>
  <c r="O120" i="1"/>
  <c r="N120" i="1"/>
  <c r="N121" i="1"/>
  <c r="O121" i="1"/>
  <c r="O122" i="1"/>
  <c r="N122" i="1"/>
  <c r="O123" i="1"/>
  <c r="N123" i="1"/>
  <c r="N124" i="1"/>
  <c r="O124" i="1"/>
  <c r="N125" i="1"/>
  <c r="O125" i="1"/>
  <c r="O126" i="1"/>
  <c r="N126" i="1"/>
  <c r="O127" i="1"/>
  <c r="N127" i="1"/>
  <c r="O128" i="1"/>
  <c r="N128" i="1"/>
  <c r="O129" i="1"/>
  <c r="N129" i="1"/>
  <c r="O130" i="1"/>
  <c r="N130" i="1"/>
  <c r="O131" i="1"/>
  <c r="N131" i="1"/>
  <c r="N132" i="1"/>
  <c r="O132" i="1"/>
  <c r="N133" i="1"/>
  <c r="O133" i="1"/>
  <c r="O134" i="1"/>
  <c r="N134" i="1"/>
  <c r="O135" i="1"/>
  <c r="N135" i="1"/>
  <c r="O136" i="1"/>
  <c r="N136" i="1"/>
  <c r="N137" i="1"/>
  <c r="O137" i="1"/>
  <c r="O138" i="1"/>
  <c r="N138" i="1"/>
  <c r="N139" i="1"/>
  <c r="O139" i="1"/>
  <c r="N140" i="1"/>
  <c r="O140" i="1"/>
  <c r="O141" i="1"/>
  <c r="N141" i="1"/>
  <c r="N142" i="1"/>
  <c r="O142" i="1"/>
  <c r="O143" i="1"/>
  <c r="N143" i="1"/>
  <c r="N146" i="1"/>
  <c r="O146" i="1"/>
  <c r="O147" i="1"/>
  <c r="N147" i="1"/>
  <c r="N148" i="1"/>
  <c r="O148" i="1"/>
  <c r="O149" i="1"/>
  <c r="M149" i="1" s="1"/>
  <c r="N149" i="1"/>
  <c r="O150" i="1"/>
  <c r="N150" i="1"/>
  <c r="O151" i="1"/>
  <c r="N151" i="1"/>
  <c r="N152" i="1"/>
  <c r="O152" i="1"/>
  <c r="N153" i="1"/>
  <c r="O153" i="1"/>
  <c r="N154" i="1"/>
  <c r="O154" i="1"/>
  <c r="N155" i="1"/>
  <c r="O155" i="1"/>
  <c r="O156" i="1"/>
  <c r="N156" i="1"/>
  <c r="O157" i="1"/>
  <c r="N157" i="1"/>
  <c r="O158" i="1"/>
  <c r="N158" i="1"/>
  <c r="N159" i="1"/>
  <c r="O159" i="1"/>
  <c r="N160" i="1"/>
  <c r="O160" i="1"/>
  <c r="N161" i="1"/>
  <c r="O161" i="1"/>
  <c r="N162" i="1"/>
  <c r="O162" i="1"/>
  <c r="O164" i="1"/>
  <c r="N164" i="1"/>
  <c r="O165" i="1"/>
  <c r="N165" i="1"/>
  <c r="O166" i="1"/>
  <c r="N166" i="1"/>
  <c r="N167" i="1"/>
  <c r="O167" i="1"/>
  <c r="N168" i="1"/>
  <c r="O168" i="1"/>
  <c r="O169" i="1"/>
  <c r="N169" i="1"/>
  <c r="O170" i="1"/>
  <c r="M170" i="1" s="1"/>
  <c r="N170" i="1"/>
  <c r="N171" i="1"/>
  <c r="O171" i="1"/>
  <c r="N172" i="1"/>
  <c r="O172" i="1"/>
  <c r="O173" i="1"/>
  <c r="N173" i="1"/>
  <c r="O174" i="1"/>
  <c r="N174" i="1"/>
  <c r="O175" i="1"/>
  <c r="N175" i="1"/>
  <c r="O176" i="1"/>
  <c r="N176" i="1"/>
  <c r="N177" i="1"/>
  <c r="O177" i="1"/>
  <c r="M177" i="1" s="1"/>
  <c r="N178" i="1"/>
  <c r="O178" i="1"/>
  <c r="O179" i="1"/>
  <c r="N179" i="1"/>
  <c r="O180" i="1"/>
  <c r="N180" i="1"/>
  <c r="O181" i="1"/>
  <c r="N181" i="1"/>
  <c r="O182" i="1"/>
  <c r="N182" i="1"/>
  <c r="O184" i="1"/>
  <c r="N184" i="1"/>
  <c r="O185" i="1"/>
  <c r="N185" i="1"/>
  <c r="N186" i="1"/>
  <c r="O186" i="1"/>
  <c r="N187" i="1"/>
  <c r="O187" i="1"/>
  <c r="N188" i="1"/>
  <c r="O188" i="1"/>
  <c r="M188" i="1" s="1"/>
  <c r="O189" i="1"/>
  <c r="N189" i="1"/>
  <c r="N190" i="1"/>
  <c r="O190" i="1"/>
  <c r="N191" i="1"/>
  <c r="O191" i="1"/>
  <c r="N192" i="1"/>
  <c r="O192" i="1"/>
  <c r="O193" i="1"/>
  <c r="N193" i="1"/>
  <c r="O194" i="1"/>
  <c r="N194" i="1"/>
  <c r="O195" i="1"/>
  <c r="N195" i="1"/>
  <c r="O196" i="1"/>
  <c r="N196" i="1"/>
  <c r="O197" i="1"/>
  <c r="N197" i="1"/>
  <c r="N198" i="1"/>
  <c r="O198" i="1"/>
  <c r="N199" i="1"/>
  <c r="O199" i="1"/>
  <c r="N200" i="1"/>
  <c r="O200" i="1"/>
  <c r="N201" i="1"/>
  <c r="O201" i="1"/>
  <c r="O202" i="1"/>
  <c r="M202" i="1" s="1"/>
  <c r="N202" i="1"/>
  <c r="O203" i="1"/>
  <c r="N203" i="1"/>
  <c r="O204" i="1"/>
  <c r="N204" i="1"/>
  <c r="N205" i="1"/>
  <c r="O205" i="1"/>
  <c r="O206" i="1"/>
  <c r="N206" i="1"/>
  <c r="O207" i="1"/>
  <c r="N207" i="1"/>
  <c r="N208" i="1"/>
  <c r="O208" i="1"/>
  <c r="N209" i="1"/>
  <c r="O209" i="1"/>
  <c r="N210" i="1"/>
  <c r="O210" i="1"/>
  <c r="N211" i="1"/>
  <c r="O211" i="1"/>
  <c r="N212" i="1"/>
  <c r="O212" i="1"/>
  <c r="O213" i="1"/>
  <c r="N213" i="1"/>
  <c r="N215" i="1"/>
  <c r="O215" i="1"/>
  <c r="O216" i="1"/>
  <c r="N216" i="1"/>
  <c r="N217" i="1"/>
  <c r="O217" i="1"/>
  <c r="O218" i="1"/>
  <c r="N218" i="1"/>
  <c r="N219" i="1"/>
  <c r="O219" i="1"/>
  <c r="N220" i="1"/>
  <c r="O220" i="1"/>
  <c r="O221" i="1"/>
  <c r="N221" i="1"/>
  <c r="N222" i="1"/>
  <c r="O222" i="1"/>
  <c r="O223" i="1"/>
  <c r="N223" i="1"/>
  <c r="N225" i="1"/>
  <c r="O225" i="1"/>
  <c r="N226" i="1"/>
  <c r="O226" i="1"/>
  <c r="O227" i="1"/>
  <c r="N227" i="1"/>
  <c r="N228" i="1"/>
  <c r="O228" i="1"/>
  <c r="N229" i="1"/>
  <c r="O229" i="1"/>
  <c r="N230" i="1"/>
  <c r="O230" i="1"/>
  <c r="O231" i="1"/>
  <c r="N231" i="1"/>
  <c r="N233" i="1"/>
  <c r="O233" i="1"/>
  <c r="M233" i="1" s="1"/>
  <c r="O234" i="1"/>
  <c r="N234" i="1"/>
  <c r="N235" i="1"/>
  <c r="O235" i="1"/>
  <c r="M235" i="1" s="1"/>
  <c r="O236" i="1"/>
  <c r="N236" i="1"/>
  <c r="O237" i="1"/>
  <c r="N237" i="1"/>
  <c r="N238" i="1"/>
  <c r="O238" i="1"/>
  <c r="O239" i="1"/>
  <c r="N239" i="1"/>
  <c r="N241" i="1"/>
  <c r="O241" i="1"/>
  <c r="N242" i="1"/>
  <c r="O242" i="1"/>
  <c r="O243" i="1"/>
  <c r="N243" i="1"/>
  <c r="N244" i="1"/>
  <c r="O244" i="1"/>
  <c r="N246" i="1"/>
  <c r="O246" i="1"/>
  <c r="O247" i="1"/>
  <c r="N247" i="1"/>
  <c r="O248" i="1"/>
  <c r="M248" i="1" s="1"/>
  <c r="N248" i="1"/>
  <c r="N249" i="1"/>
  <c r="O249" i="1"/>
  <c r="O250" i="1"/>
  <c r="N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O257" i="1"/>
  <c r="N257" i="1"/>
  <c r="O258" i="1"/>
  <c r="N258" i="1"/>
  <c r="N259" i="1"/>
  <c r="O259" i="1"/>
  <c r="N260" i="1"/>
  <c r="O260" i="1"/>
  <c r="O261" i="1"/>
  <c r="N261" i="1"/>
  <c r="O262" i="1"/>
  <c r="N262" i="1"/>
  <c r="O263" i="1"/>
  <c r="N263" i="1"/>
  <c r="O264" i="1"/>
  <c r="N264" i="1"/>
  <c r="N265" i="1"/>
  <c r="O265" i="1"/>
  <c r="N266" i="1"/>
  <c r="O266" i="1"/>
  <c r="O267" i="1"/>
  <c r="M267" i="1" s="1"/>
  <c r="N267" i="1"/>
  <c r="N268" i="1"/>
  <c r="O268" i="1"/>
  <c r="N269" i="1"/>
  <c r="O269" i="1"/>
  <c r="N270" i="1"/>
  <c r="O270" i="1"/>
  <c r="O271" i="1"/>
  <c r="N271" i="1"/>
  <c r="N272" i="1"/>
  <c r="O272" i="1"/>
  <c r="N273" i="1"/>
  <c r="O273" i="1"/>
  <c r="N274" i="1"/>
  <c r="O274" i="1"/>
  <c r="O275" i="1"/>
  <c r="N275" i="1"/>
  <c r="N276" i="1"/>
  <c r="O276" i="1"/>
  <c r="N277" i="1"/>
  <c r="O277" i="1"/>
  <c r="O278" i="1"/>
  <c r="N278" i="1"/>
  <c r="O279" i="1"/>
  <c r="N279" i="1"/>
  <c r="O280" i="1"/>
  <c r="N280" i="1"/>
  <c r="O281" i="1"/>
  <c r="N281" i="1"/>
  <c r="O282" i="1"/>
  <c r="N282" i="1"/>
  <c r="N283" i="1"/>
  <c r="O283" i="1"/>
  <c r="N284" i="1"/>
  <c r="M284" i="1" s="1"/>
  <c r="O284" i="1"/>
  <c r="N285" i="1"/>
  <c r="O285" i="1"/>
  <c r="M285" i="1" s="1"/>
  <c r="O286" i="1"/>
  <c r="N286" i="1"/>
  <c r="N287" i="1"/>
  <c r="O287" i="1"/>
  <c r="O288" i="1"/>
  <c r="N288" i="1"/>
  <c r="O289" i="1"/>
  <c r="N289" i="1"/>
  <c r="N290" i="1"/>
  <c r="O290" i="1"/>
  <c r="N291" i="1"/>
  <c r="O291" i="1"/>
  <c r="N292" i="1"/>
  <c r="O292" i="1"/>
  <c r="N293" i="1"/>
  <c r="O293" i="1"/>
  <c r="O294" i="1"/>
  <c r="N294" i="1"/>
  <c r="N295" i="1"/>
  <c r="O295" i="1"/>
  <c r="N296" i="1"/>
  <c r="O296" i="1"/>
  <c r="O297" i="1"/>
  <c r="N297" i="1"/>
  <c r="O298" i="1"/>
  <c r="N298" i="1"/>
  <c r="O301" i="1"/>
  <c r="N301" i="1"/>
  <c r="O302" i="1"/>
  <c r="N302" i="1"/>
  <c r="O303" i="1"/>
  <c r="N303" i="1"/>
  <c r="N304" i="1"/>
  <c r="O304" i="1"/>
  <c r="N305" i="1"/>
  <c r="O305" i="1"/>
  <c r="N306" i="1"/>
  <c r="O306" i="1"/>
  <c r="N307" i="1"/>
  <c r="O307" i="1"/>
  <c r="N308" i="1"/>
  <c r="O308" i="1"/>
  <c r="O309" i="1"/>
  <c r="N309" i="1"/>
  <c r="N310" i="1"/>
  <c r="O310" i="1"/>
  <c r="N311" i="1"/>
  <c r="O311" i="1"/>
  <c r="O312" i="1"/>
  <c r="N312" i="1"/>
  <c r="N313" i="1"/>
  <c r="M313" i="1" s="1"/>
  <c r="O313" i="1"/>
  <c r="O314" i="1"/>
  <c r="M314" i="1" s="1"/>
  <c r="N314" i="1"/>
  <c r="N315" i="1"/>
  <c r="O315" i="1"/>
  <c r="N316" i="1"/>
  <c r="O316" i="1"/>
  <c r="O317" i="1"/>
  <c r="N317" i="1"/>
  <c r="N318" i="1"/>
  <c r="O318" i="1"/>
  <c r="O319" i="1"/>
  <c r="N319" i="1"/>
  <c r="O320" i="1"/>
  <c r="N320" i="1"/>
  <c r="N321" i="1"/>
  <c r="O321" i="1"/>
  <c r="O322" i="1"/>
  <c r="N322" i="1"/>
  <c r="M30" i="1"/>
  <c r="M38" i="1"/>
  <c r="M40" i="1"/>
  <c r="M42" i="1"/>
  <c r="M50" i="1"/>
  <c r="M52" i="1"/>
  <c r="M54" i="1"/>
  <c r="M56" i="1"/>
  <c r="M58" i="1"/>
  <c r="M60" i="1"/>
  <c r="M72" i="1"/>
  <c r="M78" i="1"/>
  <c r="M83" i="1"/>
  <c r="M86" i="1"/>
  <c r="M88" i="1"/>
  <c r="M92" i="1"/>
  <c r="M95" i="1"/>
  <c r="M97" i="1"/>
  <c r="M98" i="1"/>
  <c r="M99" i="1"/>
  <c r="M106" i="1"/>
  <c r="M110" i="1"/>
  <c r="M112" i="1"/>
  <c r="M114" i="1"/>
  <c r="M116" i="1"/>
  <c r="M122" i="1"/>
  <c r="M126" i="1"/>
  <c r="M127" i="1"/>
  <c r="M128" i="1"/>
  <c r="M129" i="1"/>
  <c r="M130" i="1"/>
  <c r="M131" i="1"/>
  <c r="M132" i="1"/>
  <c r="M134" i="1"/>
  <c r="M136" i="1"/>
  <c r="M137" i="1"/>
  <c r="M138" i="1"/>
  <c r="M140" i="1"/>
  <c r="M141" i="1"/>
  <c r="M142" i="1"/>
  <c r="M143" i="1"/>
  <c r="M144" i="1"/>
  <c r="M196" i="1"/>
  <c r="M197" i="1"/>
  <c r="M198" i="1"/>
  <c r="M199" i="1"/>
  <c r="M200" i="1"/>
  <c r="M201" i="1"/>
  <c r="M203" i="1"/>
  <c r="M204" i="1"/>
  <c r="M205" i="1"/>
  <c r="M207" i="1"/>
  <c r="M211" i="1"/>
  <c r="M215" i="1"/>
  <c r="M216" i="1"/>
  <c r="M223" i="1"/>
  <c r="M224" i="1"/>
  <c r="M225" i="1"/>
  <c r="M227" i="1"/>
  <c r="M231" i="1"/>
  <c r="M232" i="1"/>
  <c r="M236" i="1"/>
  <c r="M237" i="1"/>
  <c r="M238" i="1"/>
  <c r="M242" i="1"/>
  <c r="M243" i="1"/>
  <c r="M244" i="1"/>
  <c r="M146" i="1"/>
  <c r="M147" i="1"/>
  <c r="M148" i="1"/>
  <c r="M150" i="1"/>
  <c r="M151" i="1"/>
  <c r="M152" i="1"/>
  <c r="M153" i="1"/>
  <c r="M154" i="1"/>
  <c r="M155" i="1"/>
  <c r="M157" i="1"/>
  <c r="M158" i="1"/>
  <c r="M159" i="1"/>
  <c r="M160" i="1"/>
  <c r="M161" i="1"/>
  <c r="M162" i="1"/>
  <c r="M163" i="1"/>
  <c r="M164" i="1"/>
  <c r="M166" i="1"/>
  <c r="M167" i="1"/>
  <c r="M168" i="1"/>
  <c r="M169" i="1"/>
  <c r="M171" i="1"/>
  <c r="M172" i="1"/>
  <c r="M173" i="1"/>
  <c r="M174" i="1"/>
  <c r="M175" i="1"/>
  <c r="M176" i="1"/>
  <c r="M178" i="1"/>
  <c r="M179" i="1"/>
  <c r="M180" i="1"/>
  <c r="M181" i="1"/>
  <c r="M182" i="1"/>
  <c r="M183" i="1"/>
  <c r="M184" i="1"/>
  <c r="M185" i="1"/>
  <c r="M186" i="1"/>
  <c r="M187" i="1"/>
  <c r="M189" i="1"/>
  <c r="M190" i="1"/>
  <c r="M191" i="1"/>
  <c r="M192" i="1"/>
  <c r="M193" i="1"/>
  <c r="M194" i="1"/>
  <c r="M195" i="1"/>
  <c r="M206" i="1"/>
  <c r="M208" i="1"/>
  <c r="M209" i="1"/>
  <c r="M210" i="1"/>
  <c r="M212" i="1"/>
  <c r="M213" i="1"/>
  <c r="M217" i="1"/>
  <c r="M218" i="1"/>
  <c r="M220" i="1"/>
  <c r="M221" i="1"/>
  <c r="M222" i="1"/>
  <c r="M226" i="1"/>
  <c r="M228" i="1"/>
  <c r="M229" i="1"/>
  <c r="M230" i="1"/>
  <c r="M234" i="1"/>
  <c r="M240" i="1"/>
  <c r="M246" i="1"/>
  <c r="M247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71" i="1"/>
  <c r="M272" i="1"/>
  <c r="M275" i="1"/>
  <c r="M276" i="1"/>
  <c r="M277" i="1"/>
  <c r="M278" i="1"/>
  <c r="M279" i="1"/>
  <c r="M280" i="1"/>
  <c r="M281" i="1"/>
  <c r="M282" i="1"/>
  <c r="M283" i="1"/>
  <c r="M286" i="1"/>
  <c r="M289" i="1"/>
  <c r="M293" i="1"/>
  <c r="M299" i="1"/>
  <c r="M303" i="1"/>
  <c r="M304" i="1"/>
  <c r="M305" i="1"/>
  <c r="M307" i="1"/>
  <c r="M316" i="1"/>
  <c r="M317" i="1"/>
  <c r="M319" i="1"/>
  <c r="M321" i="1"/>
  <c r="M5" i="1"/>
  <c r="M14" i="1"/>
  <c r="M18" i="1"/>
  <c r="M19" i="1"/>
  <c r="M20" i="1"/>
  <c r="M35" i="1"/>
  <c r="M41" i="1"/>
  <c r="M44" i="1"/>
  <c r="M48" i="1"/>
  <c r="M53" i="1"/>
  <c r="M63" i="1"/>
  <c r="M64" i="1"/>
  <c r="M68" i="1"/>
  <c r="M70" i="1"/>
  <c r="M71" i="1"/>
  <c r="M77" i="1"/>
  <c r="M80" i="1"/>
  <c r="M89" i="1"/>
  <c r="M90" i="1"/>
  <c r="M100" i="1"/>
  <c r="M101" i="1"/>
  <c r="M103" i="1"/>
  <c r="M105" i="1"/>
  <c r="M107" i="1"/>
  <c r="M111" i="1"/>
  <c r="M113" i="1"/>
  <c r="M117" i="1"/>
  <c r="M119" i="1"/>
  <c r="M123" i="1"/>
  <c r="M124" i="1"/>
  <c r="M268" i="1"/>
  <c r="M269" i="1"/>
  <c r="M270" i="1"/>
  <c r="M273" i="1"/>
  <c r="M274" i="1"/>
  <c r="M287" i="1"/>
  <c r="M288" i="1"/>
  <c r="M290" i="1"/>
  <c r="M291" i="1"/>
  <c r="M292" i="1"/>
  <c r="M294" i="1"/>
  <c r="M295" i="1"/>
  <c r="M297" i="1"/>
  <c r="M298" i="1"/>
  <c r="M301" i="1"/>
  <c r="M302" i="1"/>
  <c r="M306" i="1"/>
  <c r="M311" i="1"/>
  <c r="M312" i="1"/>
  <c r="M315" i="1"/>
  <c r="M6" i="1"/>
  <c r="M7" i="1"/>
  <c r="M12" i="1"/>
  <c r="M13" i="1"/>
  <c r="M16" i="1"/>
  <c r="M21" i="1"/>
  <c r="M31" i="1"/>
  <c r="M32" i="1"/>
  <c r="M33" i="1"/>
  <c r="M37" i="1"/>
  <c r="M39" i="1"/>
  <c r="M45" i="1"/>
  <c r="M46" i="1"/>
  <c r="M47" i="1"/>
  <c r="M49" i="1"/>
  <c r="M62" i="1"/>
  <c r="M74" i="1"/>
  <c r="M76" i="1"/>
  <c r="M82" i="1"/>
  <c r="M109" i="1"/>
  <c r="M115" i="1"/>
  <c r="M120" i="1"/>
  <c r="M308" i="1"/>
  <c r="M309" i="1"/>
  <c r="M320" i="1"/>
  <c r="M322" i="1"/>
  <c r="M4" i="1"/>
  <c r="M8" i="1"/>
  <c r="M9" i="1"/>
  <c r="M10" i="1"/>
  <c r="M11" i="1"/>
  <c r="M15" i="1"/>
  <c r="M22" i="1"/>
  <c r="M24" i="1"/>
  <c r="M25" i="1"/>
  <c r="M26" i="1"/>
  <c r="M27" i="1"/>
  <c r="M28" i="1"/>
  <c r="M29" i="1"/>
  <c r="M36" i="1"/>
  <c r="M43" i="1"/>
  <c r="M51" i="1"/>
  <c r="M55" i="1"/>
  <c r="M57" i="1"/>
  <c r="M59" i="1"/>
  <c r="M61" i="1"/>
  <c r="M65" i="1"/>
  <c r="M67" i="1"/>
  <c r="M73" i="1"/>
  <c r="M75" i="1"/>
  <c r="M79" i="1"/>
  <c r="M81" i="1"/>
  <c r="M85" i="1"/>
  <c r="M93" i="1"/>
  <c r="M94" i="1"/>
  <c r="M118" i="1"/>
  <c r="S323" i="1"/>
  <c r="M323" i="1" s="1"/>
  <c r="S324" i="1"/>
  <c r="M324" i="1" s="1"/>
  <c r="S325" i="1"/>
  <c r="M325" i="1" s="1"/>
  <c r="S326" i="1"/>
  <c r="M326" i="1" s="1"/>
  <c r="S327" i="1"/>
  <c r="M327" i="1" s="1"/>
  <c r="S328" i="1"/>
  <c r="M328" i="1" s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2" i="1"/>
  <c r="M2" i="1" s="1"/>
  <c r="O2" i="1"/>
</calcChain>
</file>

<file path=xl/sharedStrings.xml><?xml version="1.0" encoding="utf-8"?>
<sst xmlns="http://schemas.openxmlformats.org/spreadsheetml/2006/main" count="644" uniqueCount="556">
  <si>
    <t>Item:</t>
  </si>
  <si>
    <t>Simbelmynë Circlet</t>
  </si>
  <si>
    <t>Simbelmynë Cloak</t>
  </si>
  <si>
    <t>Simbelmynë Dress</t>
  </si>
  <si>
    <t>Map of Annúminas</t>
  </si>
  <si>
    <t>Garden-dwarf</t>
  </si>
  <si>
    <t>Trellis-weave Caparison</t>
  </si>
  <si>
    <t>Steed of Spring Gardens</t>
  </si>
  <si>
    <t>Simbelmynë Steed</t>
  </si>
  <si>
    <t>Springtime Steed</t>
  </si>
  <si>
    <t>Blue Roan Steed</t>
  </si>
  <si>
    <t>Springfest Steed</t>
  </si>
  <si>
    <t>Spring Lissuin Halter</t>
  </si>
  <si>
    <t>Spring Lissuin Saddle</t>
  </si>
  <si>
    <t>Steed of the Jester</t>
  </si>
  <si>
    <t>Blue Flower Gift Box</t>
  </si>
  <si>
    <t>Green Flower Gift Box</t>
  </si>
  <si>
    <t>Red Flower Gift Box</t>
  </si>
  <si>
    <t>Item ID</t>
  </si>
  <si>
    <t>0x7003FC33</t>
  </si>
  <si>
    <t>0x7003FDD2</t>
  </si>
  <si>
    <t>0x7003FC30</t>
  </si>
  <si>
    <t>0x7003660B</t>
  </si>
  <si>
    <t>0x7003660C</t>
  </si>
  <si>
    <t>0x7003660D</t>
  </si>
  <si>
    <t>0x7003660E</t>
  </si>
  <si>
    <t>0x7002E906</t>
  </si>
  <si>
    <t>0x7002E909</t>
  </si>
  <si>
    <t>0x7002E908</t>
  </si>
  <si>
    <t>0x7002E905</t>
  </si>
  <si>
    <t>0x7002E907</t>
  </si>
  <si>
    <t>0x70019475</t>
  </si>
  <si>
    <t>0x70019A3B</t>
  </si>
  <si>
    <t>0x70026969</t>
  </si>
  <si>
    <t>0x70026968</t>
  </si>
  <si>
    <t>0x700199F2</t>
  </si>
  <si>
    <t>0x7002696A</t>
  </si>
  <si>
    <t>0x70019481</t>
  </si>
  <si>
    <t>0x70019D6E</t>
  </si>
  <si>
    <t>0x70019480</t>
  </si>
  <si>
    <t>0x70036346</t>
  </si>
  <si>
    <t>0x70036347</t>
  </si>
  <si>
    <t>0x70036355</t>
  </si>
  <si>
    <t>0x700194B9</t>
  </si>
  <si>
    <t>0x700194BA</t>
  </si>
  <si>
    <t>0x700194BE</t>
  </si>
  <si>
    <t>0x700266B5</t>
  </si>
  <si>
    <t>0x700266B9</t>
  </si>
  <si>
    <t>0x700266B3</t>
  </si>
  <si>
    <t>0x700266C2</t>
  </si>
  <si>
    <t>0x70019478</t>
  </si>
  <si>
    <t>0x7001947E</t>
  </si>
  <si>
    <t>0x7001947D</t>
  </si>
  <si>
    <t>0x7001947A</t>
  </si>
  <si>
    <t>0x70019476</t>
  </si>
  <si>
    <t>0x70021382</t>
  </si>
  <si>
    <t>0x70019477</t>
  </si>
  <si>
    <t>0x70019A34</t>
  </si>
  <si>
    <t>0x70020D80</t>
  </si>
  <si>
    <t>0x7001ABC0</t>
  </si>
  <si>
    <t>0x70021383</t>
  </si>
  <si>
    <t>0x7002D485</t>
  </si>
  <si>
    <t>0x70020E69</t>
  </si>
  <si>
    <t>0x70020E78</t>
  </si>
  <si>
    <t>0x70026695</t>
  </si>
  <si>
    <t>0x700193C6</t>
  </si>
  <si>
    <t>0x70020E58</t>
  </si>
  <si>
    <t>0x7001980F</t>
  </si>
  <si>
    <t>0x700195AE</t>
  </si>
  <si>
    <t>0x7003FC31</t>
  </si>
  <si>
    <t>0x7003FDEC</t>
  </si>
  <si>
    <t>0x70036609</t>
  </si>
  <si>
    <t>0x70036642</t>
  </si>
  <si>
    <t>0x70036645</t>
  </si>
  <si>
    <t>0x7002E91A</t>
  </si>
  <si>
    <t>0x700267A1</t>
  </si>
  <si>
    <t>0x70020548</t>
  </si>
  <si>
    <t>0x70019DB0</t>
  </si>
  <si>
    <t>0x70036643</t>
  </si>
  <si>
    <t>0x70036644</t>
  </si>
  <si>
    <t>0x7002CBE9</t>
  </si>
  <si>
    <t>0x7000D8C5</t>
  </si>
  <si>
    <t>0x7000D8EF</t>
  </si>
  <si>
    <t>0x7000D8F1</t>
  </si>
  <si>
    <t>Count</t>
  </si>
  <si>
    <t>SPRING_FESTIVAL</t>
  </si>
  <si>
    <t>SPRING_MITHRIL</t>
  </si>
  <si>
    <t>SPRING_VIOLET</t>
  </si>
  <si>
    <t>SPRING_MARIGOLD</t>
  </si>
  <si>
    <t>SPRING_PRIMROSE</t>
  </si>
  <si>
    <t>Lua:</t>
  </si>
  <si>
    <t>spring festival tokens</t>
  </si>
  <si>
    <t>Cost:</t>
  </si>
  <si>
    <t>Item Count:</t>
  </si>
  <si>
    <t>Cosmetics - Part 1</t>
  </si>
  <si>
    <t>Festivity</t>
  </si>
  <si>
    <t>Boots of the Perfect Curl</t>
  </si>
  <si>
    <t>Helmet of the Perfect Curl</t>
  </si>
  <si>
    <t>Shoulder-guards of the Perfect Curl</t>
  </si>
  <si>
    <t>Tunic and Leggings of the Perfect Curl</t>
  </si>
  <si>
    <t>Cloak of New Growth</t>
  </si>
  <si>
    <t>Hooded Cloak of New Growth</t>
  </si>
  <si>
    <t>Jacket of a Merry Fellow</t>
  </si>
  <si>
    <t>Hat of a Merry Fellow</t>
  </si>
  <si>
    <t>Boots of a Merry Fellow</t>
  </si>
  <si>
    <t>Short-sleeved Dress of the Spring Maid</t>
  </si>
  <si>
    <t>Long-sleeved Dress of the Spring Maid</t>
  </si>
  <si>
    <t>Sleeveless Dress of the Spring Maid</t>
  </si>
  <si>
    <t>Braided Dress of the Spring Woods</t>
  </si>
  <si>
    <t>Braided Tunic and Trousers of the Spring Woods</t>
  </si>
  <si>
    <t>Mantle of the Spring Woods</t>
  </si>
  <si>
    <t>Cloak of the Mountain Meadow</t>
  </si>
  <si>
    <t>Hooded Cloak of the Mountain Meadow</t>
  </si>
  <si>
    <t>Lonely Mountain Fiddle</t>
  </si>
  <si>
    <t>Sprightly Fiddle</t>
  </si>
  <si>
    <t>Cosmetics - Part 2</t>
  </si>
  <si>
    <t>Tunic Set of the Mountain Meadow</t>
  </si>
  <si>
    <t>Long-sleeved Dress of the Mountain Meadow</t>
  </si>
  <si>
    <t>Sleeveless Dress of the Mountain Meadow</t>
  </si>
  <si>
    <t>Cap-sleeved Dress of the Mountain Meadow</t>
  </si>
  <si>
    <t>Cap of the Mountain Meadow</t>
  </si>
  <si>
    <t>Lasgalen Spring Dress</t>
  </si>
  <si>
    <t>Lasgalen Spring Tunic and Trousers</t>
  </si>
  <si>
    <t>0x7006A6D4</t>
  </si>
  <si>
    <t>0x7006A6D3</t>
  </si>
  <si>
    <t>0x7006A6D2</t>
  </si>
  <si>
    <t>0x7006A6D5</t>
  </si>
  <si>
    <t>0x70064D6D</t>
  </si>
  <si>
    <t>0x7005A3CF</t>
  </si>
  <si>
    <t>0x7005A3C1</t>
  </si>
  <si>
    <t>0x7005A3C7</t>
  </si>
  <si>
    <t>0x7005A3CA</t>
  </si>
  <si>
    <t>0x7005A3CD</t>
  </si>
  <si>
    <t>0x7005A3C4</t>
  </si>
  <si>
    <t>0x700569EB</t>
  </si>
  <si>
    <t>0x700569EC</t>
  </si>
  <si>
    <t>0x700569EA</t>
  </si>
  <si>
    <t>0x70052BE4</t>
  </si>
  <si>
    <t>0x70052BE6</t>
  </si>
  <si>
    <t>0x7004D879</t>
  </si>
  <si>
    <t>0x7004D87A</t>
  </si>
  <si>
    <t>0x70052BE2</t>
  </si>
  <si>
    <t>0x70052BE7</t>
  </si>
  <si>
    <t>0x70052BE3</t>
  </si>
  <si>
    <t>0x70052BE8</t>
  </si>
  <si>
    <t>0x70052BE5</t>
  </si>
  <si>
    <t>0x7004D812</t>
  </si>
  <si>
    <t>0x7004D811</t>
  </si>
  <si>
    <t>Lasgalen Spring Dress Boots</t>
  </si>
  <si>
    <t>Lasgalen Spring Pack</t>
  </si>
  <si>
    <t>Cloak of the Moth</t>
  </si>
  <si>
    <t>Hooded Cloak of the Moth</t>
  </si>
  <si>
    <t>Short-sleeved Dress of the Moth</t>
  </si>
  <si>
    <t>Long-sleeved Dress of the Moth</t>
  </si>
  <si>
    <t>Sleeveless Dress of the Moth</t>
  </si>
  <si>
    <t>Sightseer's Jacket</t>
  </si>
  <si>
    <t>Sightseer's Trousers</t>
  </si>
  <si>
    <t>Sightseer's Straw Hat</t>
  </si>
  <si>
    <t>Trellis-weave Cloak</t>
  </si>
  <si>
    <t>Hooded Trellis-weave Cloak</t>
  </si>
  <si>
    <t>Trellis-weave Robe</t>
  </si>
  <si>
    <t>0x7004D80F</t>
  </si>
  <si>
    <t>0x7004D838</t>
  </si>
  <si>
    <t>0x700485CB</t>
  </si>
  <si>
    <t>0x700486F7</t>
  </si>
  <si>
    <t>0x700485CC</t>
  </si>
  <si>
    <t>0x700487B0</t>
  </si>
  <si>
    <t>0x700487B3</t>
  </si>
  <si>
    <t>0x70045274</t>
  </si>
  <si>
    <t>0x70045272</t>
  </si>
  <si>
    <t>0x70045273</t>
  </si>
  <si>
    <t>0x70064D6E</t>
  </si>
  <si>
    <t>Cosmetics - Part 3</t>
  </si>
  <si>
    <t>Spring Adventurer's Quiver</t>
  </si>
  <si>
    <t>Spring Dandy Cloak</t>
  </si>
  <si>
    <t>Spring Dandy Hooded Cloak</t>
  </si>
  <si>
    <t>Spring-flinger Cloak</t>
  </si>
  <si>
    <t>Spring-flinger Hooded Cloak</t>
  </si>
  <si>
    <t>Spring-flinger Hat</t>
  </si>
  <si>
    <t>Short-sleeved Spring-flinger Hauberk</t>
  </si>
  <si>
    <t>Long-sleeved Spring-flinger Hauberk</t>
  </si>
  <si>
    <t>Wide-brimmed Spring Hat</t>
  </si>
  <si>
    <t>Hooded Cloak of New Bloom</t>
  </si>
  <si>
    <t>Tunic and Trousers of New Bloom</t>
  </si>
  <si>
    <t>Lissuin Cloak</t>
  </si>
  <si>
    <t>Lissuin Hooded Cloak</t>
  </si>
  <si>
    <t>Lissuin Robe</t>
  </si>
  <si>
    <t>Lissuin Dress</t>
  </si>
  <si>
    <t>White Rose Circlet</t>
  </si>
  <si>
    <t>Simbelmynë Tunic &amp; Trousers</t>
  </si>
  <si>
    <t>0x7004363D</t>
  </si>
  <si>
    <t>0x70043640</t>
  </si>
  <si>
    <t>Recipes</t>
  </si>
  <si>
    <t>Bilberry Tart Recipe</t>
  </si>
  <si>
    <t>Cherry Tart Recipe</t>
  </si>
  <si>
    <t>Potted Lily-of-the-Valley Recipe</t>
  </si>
  <si>
    <t>Potted Iris Recipe</t>
  </si>
  <si>
    <t>Potted Bluebottle Recipe</t>
  </si>
  <si>
    <t>Strawberry-rhubarb Tart Recipe</t>
  </si>
  <si>
    <t>Tasty Herb Patch</t>
  </si>
  <si>
    <t>Cozy Teapot</t>
  </si>
  <si>
    <t>Wall-mounted Shield of New Growth</t>
  </si>
  <si>
    <t>The Roaring Bull Inn Signpost</t>
  </si>
  <si>
    <t>Small Grove of Flowering Spring Trees</t>
  </si>
  <si>
    <t>Small Grove of Early Spring Trees</t>
  </si>
  <si>
    <t>Flowering Spring Tree</t>
  </si>
  <si>
    <t>Large Flowering Spring Tree</t>
  </si>
  <si>
    <t>Large Early Spring Tree</t>
  </si>
  <si>
    <t>Large White Flowering Spring Tree</t>
  </si>
  <si>
    <t>Ruined Arnorian Bridge</t>
  </si>
  <si>
    <t>Small Arnorian Watch-tower</t>
  </si>
  <si>
    <t>Arnorian Entryway</t>
  </si>
  <si>
    <t>Gammer's Cozy Hobbit Bed</t>
  </si>
  <si>
    <t>Gammer's Coffee Table</t>
  </si>
  <si>
    <t>Gammer's Tall Trinket Stand</t>
  </si>
  <si>
    <t>Elf Hedge Sculpture</t>
  </si>
  <si>
    <t>Dwarf Hedge Sculpture</t>
  </si>
  <si>
    <t>Hobbit Hedge Sculpture</t>
  </si>
  <si>
    <t>Garden Boar Sculpture</t>
  </si>
  <si>
    <t>0x7006A6DE</t>
  </si>
  <si>
    <t>0x70064A3D</t>
  </si>
  <si>
    <t>0x70064A3E</t>
  </si>
  <si>
    <t>0x700619EB</t>
  </si>
  <si>
    <t>0x70064AAF</t>
  </si>
  <si>
    <t>0x70064AB1</t>
  </si>
  <si>
    <t>White Flowering Spring Tree</t>
  </si>
  <si>
    <t>0x70064AB3</t>
  </si>
  <si>
    <t>0x70064AB5</t>
  </si>
  <si>
    <t>0x70064AB4</t>
  </si>
  <si>
    <t>0x70064AB2</t>
  </si>
  <si>
    <t>0x70064AAE</t>
  </si>
  <si>
    <t>0x7006332A</t>
  </si>
  <si>
    <t>0x70063364</t>
  </si>
  <si>
    <t>0x7006338D</t>
  </si>
  <si>
    <t>0x7005A3EC</t>
  </si>
  <si>
    <t>0x7005A3F3</t>
  </si>
  <si>
    <t>0x7005A3EE</t>
  </si>
  <si>
    <t>Housing Items 2</t>
  </si>
  <si>
    <t>Shrewmouse House</t>
  </si>
  <si>
    <t>Elegant Green Burning Sconce</t>
  </si>
  <si>
    <t>Majestic Shrew Statue</t>
  </si>
  <si>
    <t>Spring Festival Theme</t>
  </si>
  <si>
    <t>Clover Table</t>
  </si>
  <si>
    <t>Moria Keg</t>
  </si>
  <si>
    <t>Clover Stool</t>
  </si>
  <si>
    <t>Fine Portrait of a Shrew</t>
  </si>
  <si>
    <t>Hanging Pot of Lively Ivy</t>
  </si>
  <si>
    <t>Hanging Pot of Verdant Ivy</t>
  </si>
  <si>
    <t>Tiered Planter of Verdant Ivy</t>
  </si>
  <si>
    <t>Tiered Planter of Lively Ivy</t>
  </si>
  <si>
    <t>Map of the Old Forest</t>
  </si>
  <si>
    <t>Map of Archet</t>
  </si>
  <si>
    <t>Map of Bree-town</t>
  </si>
  <si>
    <t>Glittering Stone Floor</t>
  </si>
  <si>
    <t>Intricate Flagstone Floor</t>
  </si>
  <si>
    <t>Decorative Glittering Stone Floor</t>
  </si>
  <si>
    <t>0x70057392</t>
  </si>
  <si>
    <t>0x7005A419</t>
  </si>
  <si>
    <t>0x70056CB8</t>
  </si>
  <si>
    <t>0x70056CBA</t>
  </si>
  <si>
    <t>0x70056CB7</t>
  </si>
  <si>
    <t>0x70056CB9</t>
  </si>
  <si>
    <t>0x700568AC</t>
  </si>
  <si>
    <t>0x700568A2</t>
  </si>
  <si>
    <t>0x70062679</t>
  </si>
  <si>
    <t>Other</t>
  </si>
  <si>
    <t>D.R.A.G.O.N.</t>
  </si>
  <si>
    <t>Sack of Petals</t>
  </si>
  <si>
    <t>Cold Fish</t>
  </si>
  <si>
    <t>Slapper Fish</t>
  </si>
  <si>
    <t>Pile of Mysterious Powder</t>
  </si>
  <si>
    <t>Doom-shroom</t>
  </si>
  <si>
    <t>Springfest Brew Mug</t>
  </si>
  <si>
    <t>Extra Deliciously Tasty Biscuit</t>
  </si>
  <si>
    <t>Spring Festival Steeds</t>
  </si>
  <si>
    <t>Steed of the Perfect Curl</t>
  </si>
  <si>
    <t>Perfect Curl Accessory</t>
  </si>
  <si>
    <t>Perfect Curl Caparison</t>
  </si>
  <si>
    <t>Perfect Curl Head-piece</t>
  </si>
  <si>
    <t>Perfect Curl Leg-guards</t>
  </si>
  <si>
    <t>Perfect Curl Saddle</t>
  </si>
  <si>
    <t>Steed of the Forest Spring</t>
  </si>
  <si>
    <t>Caparison of the Forest Spring</t>
  </si>
  <si>
    <t>Head-piece of the Forest Spring</t>
  </si>
  <si>
    <t>Saddle of the Forest Spring</t>
  </si>
  <si>
    <t>Elk of the Spring Wood</t>
  </si>
  <si>
    <t>0x7006A6E1</t>
  </si>
  <si>
    <t>0x7006A6E6</t>
  </si>
  <si>
    <t>0x7006A6EB</t>
  </si>
  <si>
    <t>0x7006A6E9</t>
  </si>
  <si>
    <t>0x7006A6E8</t>
  </si>
  <si>
    <t>0x7006A6ED</t>
  </si>
  <si>
    <t>0x7005A3E9</t>
  </si>
  <si>
    <t>0x7005A402</t>
  </si>
  <si>
    <t>0x7005A40A</t>
  </si>
  <si>
    <t>0x7005A411</t>
  </si>
  <si>
    <t>0x700568BB</t>
  </si>
  <si>
    <t>Spring Festival Steeds - Mithril</t>
  </si>
  <si>
    <t>Lissuin Steed</t>
  </si>
  <si>
    <t>Spring Lissuin Caparison</t>
  </si>
  <si>
    <t>Spring Lissuin Leggings</t>
  </si>
  <si>
    <t>Steed of New Bloom</t>
  </si>
  <si>
    <t>Steed of Ethuil</t>
  </si>
  <si>
    <t>Steed of the Moon Moth</t>
  </si>
  <si>
    <t>Head-piece of the Moon Moth</t>
  </si>
  <si>
    <t>Caparison of the Moon Moth</t>
  </si>
  <si>
    <t>Saddle of the Moon Moth</t>
  </si>
  <si>
    <t>Lasgalen Spring Steed</t>
  </si>
  <si>
    <t>Caparison of Lasgalen Spring</t>
  </si>
  <si>
    <t>Head-piece of Lasgalen Spring</t>
  </si>
  <si>
    <t>Saddle of Lasgalen Spring</t>
  </si>
  <si>
    <t>Tail of Lasgalen Spring</t>
  </si>
  <si>
    <t>Travelling Goat of the Mountain Meadow</t>
  </si>
  <si>
    <t>Perfect Curl War-steed Cosmetics</t>
  </si>
  <si>
    <t>0x7004363E</t>
  </si>
  <si>
    <t>0x70045285</t>
  </si>
  <si>
    <t>0x70047D88</t>
  </si>
  <si>
    <t>0x700485CF</t>
  </si>
  <si>
    <t>0x700485CE</t>
  </si>
  <si>
    <t>0x700485D1</t>
  </si>
  <si>
    <t>0x7004D814</t>
  </si>
  <si>
    <t>0x7004D81C</t>
  </si>
  <si>
    <t>0x7004D81F</t>
  </si>
  <si>
    <t>0x7004D81E</t>
  </si>
  <si>
    <t>0x7004D81D</t>
  </si>
  <si>
    <t>0x70052BED</t>
  </si>
  <si>
    <t>0x7006A6F0</t>
  </si>
  <si>
    <t>Essences</t>
  </si>
  <si>
    <t>Essence Reclamation Scroll</t>
  </si>
  <si>
    <t>0x7005F84B</t>
  </si>
  <si>
    <t>Dyes</t>
  </si>
  <si>
    <t>Shire-plum Dye</t>
  </si>
  <si>
    <t>0x70044B8E</t>
  </si>
  <si>
    <t>Bullroarer's Green Dye</t>
  </si>
  <si>
    <t>Lavender Dye</t>
  </si>
  <si>
    <t>Dark Purple Dye</t>
  </si>
  <si>
    <t>Assortment of Dwarf-candle</t>
  </si>
  <si>
    <t>Yellow Dwarf-candle</t>
  </si>
  <si>
    <t>Red Dwarf-candle</t>
  </si>
  <si>
    <t>Green Dwarf-candle</t>
  </si>
  <si>
    <t>Blue Dwarf-candle</t>
  </si>
  <si>
    <t>Orange Dwarf-candle</t>
  </si>
  <si>
    <t>White Dwarf-candle</t>
  </si>
  <si>
    <t>Purple Dwarf-candle</t>
  </si>
  <si>
    <t>0x70044B93</t>
  </si>
  <si>
    <t>0x70044B96</t>
  </si>
  <si>
    <t>0x70044B91</t>
  </si>
  <si>
    <t>0x700553A2</t>
  </si>
  <si>
    <t>0x70052CE1</t>
  </si>
  <si>
    <t>0x70052CE2</t>
  </si>
  <si>
    <t>0x70052CDF</t>
  </si>
  <si>
    <t>0x70052CDD</t>
  </si>
  <si>
    <t>0x70052CDE</t>
  </si>
  <si>
    <t>0x70052CE0</t>
  </si>
  <si>
    <t>0x70052CE3</t>
  </si>
  <si>
    <t>Cosmetic Pets</t>
  </si>
  <si>
    <t>Tome of the Perfect Curl Garden Snail</t>
  </si>
  <si>
    <t>Tome of the White Puppy</t>
  </si>
  <si>
    <t>Tome of the Wild Spotted Donkey</t>
  </si>
  <si>
    <t>Tome of the Silly Goose</t>
  </si>
  <si>
    <t>Tome of the Woodland Rabbit</t>
  </si>
  <si>
    <t>Tome of the White-headed Hawk</t>
  </si>
  <si>
    <t>Tome of the Male Spring Pheasant</t>
  </si>
  <si>
    <t>Tome of the Female Spring Pheasant</t>
  </si>
  <si>
    <t>Tome of the Hedgehog</t>
  </si>
  <si>
    <t>Tome of the Moth Kite</t>
  </si>
  <si>
    <t>Tome of the Floral Kite</t>
  </si>
  <si>
    <t>Tome of the Large Shrew</t>
  </si>
  <si>
    <t>Tome of the Dusty Shrew</t>
  </si>
  <si>
    <t>Tome of the Plain Shrew</t>
  </si>
  <si>
    <t>Tome of the Spotted Shrew</t>
  </si>
  <si>
    <t>0x7006A6DD</t>
  </si>
  <si>
    <t>0x70064AC5</t>
  </si>
  <si>
    <t>0x70058C2B</t>
  </si>
  <si>
    <t>0x70057386</t>
  </si>
  <si>
    <t>0x7005735D</t>
  </si>
  <si>
    <t>0x7005735B</t>
  </si>
  <si>
    <t>0x7004DA51</t>
  </si>
  <si>
    <t>0x7004DA58</t>
  </si>
  <si>
    <t>0x7004DA5B</t>
  </si>
  <si>
    <t>0x700485B6</t>
  </si>
  <si>
    <t>0x700485BF</t>
  </si>
  <si>
    <t>0x7003F38A</t>
  </si>
  <si>
    <t>0x7003F388</t>
  </si>
  <si>
    <t>0x7003F38C</t>
  </si>
  <si>
    <t>0x7003F387</t>
  </si>
  <si>
    <t>Gift Boxes</t>
  </si>
  <si>
    <t>Garments of the Perfect Curl - Gift-wrapped Selection Box</t>
  </si>
  <si>
    <t>0x7006A6D7</t>
  </si>
  <si>
    <t>Cloaks of New Growth - Gift-wrapped Selection Box</t>
  </si>
  <si>
    <t>0x70064D70</t>
  </si>
  <si>
    <t>Merry Fellow and Spring Maid Garments - Gift-wrapped selection box</t>
  </si>
  <si>
    <t>0x7005A414</t>
  </si>
  <si>
    <t>Garments of the Spring Woods - Gift-wrapped selection box</t>
  </si>
  <si>
    <t>0x70056CB6</t>
  </si>
  <si>
    <t>Garments of the Mountain Meadow - Gift-wrapped selection box</t>
  </si>
  <si>
    <t>0x70052BEE</t>
  </si>
  <si>
    <t>Lasgalen Spring Dress - Gift-wrapped</t>
  </si>
  <si>
    <t>Lasgalen Spring Tunic and Trousers - Gift-wrapped</t>
  </si>
  <si>
    <t>Lasgalen Spring Pack - Gift-wrapped</t>
  </si>
  <si>
    <t>Cloak of the Moth - Gift Wrapped</t>
  </si>
  <si>
    <t>Hooded Cloak of the Moth - Gift Wrapped</t>
  </si>
  <si>
    <t>Short-sleeved Dress of the Moth - Gift Wrapped</t>
  </si>
  <si>
    <t>Long-sleeved Dress of the Moth - Gift Wrapped</t>
  </si>
  <si>
    <t>Sleeveless Dress of the Moth - Gift Wrapped</t>
  </si>
  <si>
    <t>Lasgalen Spring Dress Boots - Gift-wrapped</t>
  </si>
  <si>
    <t>Cosmetic Shield of New Growth</t>
  </si>
  <si>
    <t>Tome of the Adorable Sickle-fly</t>
  </si>
  <si>
    <t>Vines of Naruhel</t>
  </si>
  <si>
    <t>Crown of Naruhel</t>
  </si>
  <si>
    <t>Naruhel's Shawl</t>
  </si>
  <si>
    <t>Naruhel's Vine Dress</t>
  </si>
  <si>
    <t>Honeycomb Cloak</t>
  </si>
  <si>
    <t>Hooded Honeycomb Cloak</t>
  </si>
  <si>
    <t>Honey Goat</t>
  </si>
  <si>
    <t>Lossarnach Lily</t>
  </si>
  <si>
    <t>Lossarnach Great-lily</t>
  </si>
  <si>
    <t>Green Spring Flower Banner</t>
  </si>
  <si>
    <t>Purple Spring Flower Banner</t>
  </si>
  <si>
    <t>Gammer's Best Hall Bench</t>
  </si>
  <si>
    <t>Gammer's Best Arm Chair</t>
  </si>
  <si>
    <t>Gammer's Tea Table</t>
  </si>
  <si>
    <t>Gammer's Best Large Footstool</t>
  </si>
  <si>
    <t>Gammer's Best Couch</t>
  </si>
  <si>
    <t>Gammer's Couch for Tall Visitors</t>
  </si>
  <si>
    <t>Gammer's Best Small Footstool</t>
  </si>
  <si>
    <t>Gammer's Hall Table</t>
  </si>
  <si>
    <t>Gammer's Trinket Stand</t>
  </si>
  <si>
    <t>Curious Novelties</t>
  </si>
  <si>
    <t>GENERIC_FESTIVITY</t>
  </si>
  <si>
    <t>GENERIC_MITHRIL</t>
  </si>
  <si>
    <t>Divider 2</t>
  </si>
  <si>
    <t>Divider 1</t>
  </si>
  <si>
    <t>Divider Height</t>
  </si>
  <si>
    <t>DIVIDER_HEIGHT</t>
  </si>
  <si>
    <t>0x7007441F</t>
  </si>
  <si>
    <t>0x7007441D</t>
  </si>
  <si>
    <t>0x70074421</t>
  </si>
  <si>
    <t>0x7007441E</t>
  </si>
  <si>
    <t>0x7007441C</t>
  </si>
  <si>
    <t>0x70074420</t>
  </si>
  <si>
    <t>0x7006ED4B</t>
  </si>
  <si>
    <t>0x7006ED4D</t>
  </si>
  <si>
    <t>0x7006ED4E</t>
  </si>
  <si>
    <t>0x7006ED4A</t>
  </si>
  <si>
    <t>0x7006ED4F</t>
  </si>
  <si>
    <t>0x7006ED4C</t>
  </si>
  <si>
    <t>Daffodil Celebration Cloak</t>
  </si>
  <si>
    <t>Hooded Daffodil Celebration Cloak</t>
  </si>
  <si>
    <t>Daffodil Celebration Hat</t>
  </si>
  <si>
    <t>Daffodil Celebration Shawl</t>
  </si>
  <si>
    <t>Daffodil Celebration Tunic and Trousers</t>
  </si>
  <si>
    <t>Daffodil Celebration Dress</t>
  </si>
  <si>
    <t>Cloak of Budding Spring</t>
  </si>
  <si>
    <t>Hooded Cloak of Budding Spring</t>
  </si>
  <si>
    <t>Sleeveless Dress of Budding Spring</t>
  </si>
  <si>
    <t>Dress of Budding Spring</t>
  </si>
  <si>
    <t>Long-sleeved Dress of Budding Spring</t>
  </si>
  <si>
    <t>Tunic and Leggings of Budding Spring</t>
  </si>
  <si>
    <t>Housing Items 1</t>
  </si>
  <si>
    <t>0x700743B3</t>
  </si>
  <si>
    <t>0x70074448</t>
  </si>
  <si>
    <t>0x70074449</t>
  </si>
  <si>
    <t>0x7007444A</t>
  </si>
  <si>
    <t>0x7007444B</t>
  </si>
  <si>
    <t>0x70074446</t>
  </si>
  <si>
    <t>0x70074447</t>
  </si>
  <si>
    <t>0x70063EBC</t>
  </si>
  <si>
    <t>0x70063EC6</t>
  </si>
  <si>
    <t>0x70063EC7</t>
  </si>
  <si>
    <t>0x70063EC8</t>
  </si>
  <si>
    <t>0x70063EC9</t>
  </si>
  <si>
    <t>0x70063EBB</t>
  </si>
  <si>
    <t>0x70063EC5</t>
  </si>
  <si>
    <t>0x7006ED5A</t>
  </si>
  <si>
    <t>0x7006E903</t>
  </si>
  <si>
    <t>0x7006E8F6</t>
  </si>
  <si>
    <t>0x7006E8FA</t>
  </si>
  <si>
    <t>0x7006E8F4</t>
  </si>
  <si>
    <t>'Spring in Clegur' Theme</t>
  </si>
  <si>
    <t>Small Daffodil Celebration Banner</t>
  </si>
  <si>
    <t>Daffodil Planter</t>
  </si>
  <si>
    <t>Small Bulb Planter</t>
  </si>
  <si>
    <t>Empty Daffodil Planter</t>
  </si>
  <si>
    <t>Daffodil Plant</t>
  </si>
  <si>
    <t>Cluster of Daffodils</t>
  </si>
  <si>
    <t>Pristine Ringforge Wall</t>
  </si>
  <si>
    <t>Decorative Wall - 10M (Pristine Ringforge)</t>
  </si>
  <si>
    <t>Decorative Wall - 20M (Pristine Ringforge)</t>
  </si>
  <si>
    <t>Tall Decorative Wall - 10M (Pristine Ringforge)</t>
  </si>
  <si>
    <t>Tall Decorative Wall - 20M (Pristine Ringforge)</t>
  </si>
  <si>
    <t>Dark Green Marble Floor</t>
  </si>
  <si>
    <t>Decorative Dark Green Marble Platform</t>
  </si>
  <si>
    <t>Lily Pond and Fountain of Budding Spring</t>
  </si>
  <si>
    <t>Purple Flowering Hedge</t>
  </si>
  <si>
    <t>Red Flowering Hedge</t>
  </si>
  <si>
    <t>Yellow Flowering Hedge</t>
  </si>
  <si>
    <t>Forest Hedge</t>
  </si>
  <si>
    <t>0x70074451</t>
  </si>
  <si>
    <t>0x70074430</t>
  </si>
  <si>
    <t>Daffodil Green Thumb Bauble</t>
  </si>
  <si>
    <t>Stoor Dance Emote</t>
  </si>
  <si>
    <t>0x7007442B</t>
  </si>
  <si>
    <t>0x7006ED59</t>
  </si>
  <si>
    <t>Daffodil Celebration Goat</t>
  </si>
  <si>
    <t>Goat of Budding Spring</t>
  </si>
  <si>
    <t>0x7006544C</t>
  </si>
  <si>
    <t>0x70074426</t>
  </si>
  <si>
    <t>0x7006ED52</t>
  </si>
  <si>
    <t>Tome of the Tawny Aurochs</t>
  </si>
  <si>
    <t>Tome of the Daffodil Celebration Kid</t>
  </si>
  <si>
    <t>Tome of the Hedgehog and Hare Parade</t>
  </si>
  <si>
    <t>0x70074432</t>
  </si>
  <si>
    <t>0x7006ED5B</t>
  </si>
  <si>
    <t>Daffodil Celebration Garments - Gift-wrapped Selection Box</t>
  </si>
  <si>
    <t>Garments of Budding Spring - Gift-wrapped Selection Box</t>
  </si>
  <si>
    <t>Fresh Rewards</t>
  </si>
  <si>
    <t>0x70074450</t>
  </si>
  <si>
    <t>0x7007444C</t>
  </si>
  <si>
    <t>Daffodil Flag-bearer Bauble</t>
  </si>
  <si>
    <t>Large Daffodil Celebration Banner</t>
  </si>
  <si>
    <t>Spring Festivities</t>
  </si>
  <si>
    <t>0x70064AC3</t>
  </si>
  <si>
    <t>0x70064193</t>
  </si>
  <si>
    <t>0x7004D82C</t>
  </si>
  <si>
    <t>0x7004D82D</t>
  </si>
  <si>
    <t>0x7004D82F</t>
  </si>
  <si>
    <t>0x7004D836</t>
  </si>
  <si>
    <t>0x700486FA</t>
  </si>
  <si>
    <t>0x700486F3</t>
  </si>
  <si>
    <t>0x700486FC</t>
  </si>
  <si>
    <t>0x700487AF</t>
  </si>
  <si>
    <t>0x700487B4</t>
  </si>
  <si>
    <t>0x70056F11</t>
  </si>
  <si>
    <t>0x70056F13</t>
  </si>
  <si>
    <t>0x70056F12</t>
  </si>
  <si>
    <t>0x70056F10</t>
  </si>
  <si>
    <t>0x7005A3C8</t>
  </si>
  <si>
    <t>0x7005A3C9</t>
  </si>
  <si>
    <t>0x7005A3E8</t>
  </si>
  <si>
    <t>0x7005A3FF</t>
  </si>
  <si>
    <t>0x7005A3FE</t>
  </si>
  <si>
    <t>0x7005A057</t>
  </si>
  <si>
    <t>0x7005A054</t>
  </si>
  <si>
    <t>0x7005A3EB</t>
  </si>
  <si>
    <t>0x7005A3F5</t>
  </si>
  <si>
    <t>0x7005A3F1</t>
  </si>
  <si>
    <t>0x7005A3EF</t>
  </si>
  <si>
    <t>0x7005A3F4</t>
  </si>
  <si>
    <t>0x7005A3F2</t>
  </si>
  <si>
    <t>0x7005A3F0</t>
  </si>
  <si>
    <t>0x7005A3F6</t>
  </si>
  <si>
    <t>0x7005A3ED</t>
  </si>
  <si>
    <t>Verbena Greenhand (Festival Grounds)</t>
  </si>
  <si>
    <t>Sergeant Tom (Festival Grounds) /\n    Rhudamer Hirtul (Clegur)</t>
  </si>
  <si>
    <t>Gredlan Mugwort (Boar Fountain in Bree-town)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</si>
</sst>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6B17-13DE-4945-8C52-EB5DBDBF3B39}">
  <dimension ref="A1:Y328"/>
  <sheetViews>
    <sheetView tabSelected="1" workbookViewId="0">
      <pane xSplit="2" ySplit="1" topLeftCell="J311" activePane="bottomRight" state="frozen"/>
      <selection pane="topRight" activeCell="B1" sqref="B1"/>
      <selection pane="bottomLeft" activeCell="A2" sqref="A2"/>
      <selection pane="bottomRight" activeCell="M313" sqref="M313"/>
    </sheetView>
  </sheetViews>
  <sheetFormatPr defaultRowHeight="15" x14ac:dyDescent="0.25"/>
  <cols>
    <col min="2" max="2" width="20" bestFit="1" customWidth="1"/>
    <col min="3" max="3" width="33.85546875" bestFit="1" customWidth="1"/>
    <col min="4" max="4" width="13.7109375" style="1" bestFit="1" customWidth="1"/>
    <col min="6" max="6" width="16.7109375" bestFit="1" customWidth="1"/>
    <col min="7" max="7" width="16.7109375" customWidth="1"/>
    <col min="8" max="8" width="15.85546875" bestFit="1" customWidth="1"/>
    <col min="9" max="9" width="14.85546875" bestFit="1" customWidth="1"/>
    <col min="10" max="10" width="18.42578125" bestFit="1" customWidth="1"/>
    <col min="11" max="11" width="18" bestFit="1" customWidth="1"/>
    <col min="12" max="12" width="18" customWidth="1"/>
    <col min="13" max="13" width="88.42578125" customWidth="1"/>
    <col min="14" max="14" width="64.85546875" bestFit="1" customWidth="1"/>
    <col min="15" max="15" width="59.28515625" customWidth="1"/>
    <col min="16" max="16" width="23.42578125" customWidth="1"/>
    <col min="17" max="17" width="15.28515625" bestFit="1" customWidth="1"/>
    <col min="18" max="18" width="15.28515625" customWidth="1"/>
    <col min="19" max="19" width="79.5703125" bestFit="1" customWidth="1"/>
    <col min="20" max="20" width="23.7109375" bestFit="1" customWidth="1"/>
    <col min="21" max="21" width="23.7109375" customWidth="1"/>
    <col min="22" max="23" width="22.85546875" bestFit="1" customWidth="1"/>
    <col min="24" max="24" width="26.42578125" bestFit="1" customWidth="1"/>
    <col min="25" max="25" width="26" bestFit="1" customWidth="1"/>
  </cols>
  <sheetData>
    <row r="1" spans="1:25" x14ac:dyDescent="0.25">
      <c r="A1" t="s">
        <v>432</v>
      </c>
      <c r="B1" t="s">
        <v>431</v>
      </c>
      <c r="C1" t="s">
        <v>0</v>
      </c>
      <c r="D1" s="1" t="s">
        <v>18</v>
      </c>
      <c r="E1" t="s">
        <v>84</v>
      </c>
      <c r="F1" t="s">
        <v>85</v>
      </c>
      <c r="G1" t="s">
        <v>429</v>
      </c>
      <c r="H1" t="s">
        <v>430</v>
      </c>
      <c r="I1" t="s">
        <v>87</v>
      </c>
      <c r="J1" t="s">
        <v>88</v>
      </c>
      <c r="K1" t="s">
        <v>89</v>
      </c>
      <c r="L1" t="s">
        <v>434</v>
      </c>
      <c r="M1" t="s">
        <v>90</v>
      </c>
      <c r="N1" t="s">
        <v>432</v>
      </c>
      <c r="O1" t="s">
        <v>431</v>
      </c>
      <c r="P1" t="s">
        <v>433</v>
      </c>
      <c r="Q1" t="s">
        <v>0</v>
      </c>
      <c r="R1" t="s">
        <v>93</v>
      </c>
      <c r="S1" t="s">
        <v>92</v>
      </c>
      <c r="T1" t="s">
        <v>91</v>
      </c>
      <c r="U1" t="s">
        <v>95</v>
      </c>
      <c r="V1" t="s">
        <v>86</v>
      </c>
      <c r="W1" t="s">
        <v>87</v>
      </c>
      <c r="X1" t="s">
        <v>88</v>
      </c>
      <c r="Y1" t="s">
        <v>89</v>
      </c>
    </row>
    <row r="2" spans="1:25" x14ac:dyDescent="0.25">
      <c r="A2" t="s">
        <v>554</v>
      </c>
      <c r="M2" t="str">
        <f>IF(
  NOT(ISBLANK(A2)),
  N2,
  IF(
    NOT(ISBLANK(B2)),
    O2,
    CONCATENATE("[",ROW()-1,"]={",R2,S2,Q2,"};"," --",C2)
  )
)</f>
        <v>[1]={[1]="DIVIDER1"; [2]={["ENGLISH"] = "Sergeant Tom (Festival Grounds) /\n    Rhudamer Hirtul (Clegur)"; }; };</v>
      </c>
      <c r="N2" t="str">
        <f>CONCATENATE("[",ROW()-1,"]={[1]=""DIVIDER1""; [2]={[""ENGLISH""] = """,A2,"""; }; ",P2,"};")</f>
        <v>[1]={[1]="DIVIDER1"; [2]={["ENGLISH"] = "Sergeant Tom (Festival Grounds) /\n    Rhudamer Hirtul (Clegur)"; }; };</v>
      </c>
      <c r="O2" t="str">
        <f>CONCATENATE("[",ROW()-1,"]={[1]=""DIVIDER2""; [2]={[""ENGLISH""] = """,B2,"""; }; ",P2,"};")</f>
        <v>[1]={[1]="DIVIDER2"; [2]={["ENGLISH"] = ""; }; };</v>
      </c>
      <c r="P2" t="str">
        <f>IF(LEN(L2)&gt;0,CONCATENATE("[""DIVIDER_HEIGHT""] = ",L2,";"),"")</f>
        <v/>
      </c>
      <c r="Q2" t="str">
        <f t="shared" ref="Q2" si="0">CONCATENATE("[1]=",D2,";")</f>
        <v>[1]=;</v>
      </c>
      <c r="R2" t="str">
        <f t="shared" ref="R2" si="1">IF(E2&gt;0,CONCATENATE("[3]=",E2,";"),"")</f>
        <v/>
      </c>
      <c r="S2" t="str">
        <f t="shared" ref="S2" si="2">_xlfn.TEXTJOIN("",TRUE,"[2]={",T2:Y2,"};")</f>
        <v>[2]={};</v>
      </c>
      <c r="T2" t="str">
        <f t="shared" ref="T2" si="3">IF(F2&gt;0,CONCATENATE("[""",F$1,"""]=",F2,";"),"")</f>
        <v/>
      </c>
      <c r="U2" t="str">
        <f t="shared" ref="U2" si="4">IF(G2&gt;0,CONCATENATE("[""",G$1,"""]=",G2,";"),"")</f>
        <v/>
      </c>
      <c r="V2" t="str">
        <f t="shared" ref="V2" si="5">IF(H2&gt;0,CONCATENATE("[""",H$1,"""]=",H2,";"),"")</f>
        <v/>
      </c>
      <c r="W2" t="str">
        <f t="shared" ref="W2" si="6">IF(I2&gt;0,CONCATENATE("[""",I$1,"""]=",I2,";"),"")</f>
        <v/>
      </c>
      <c r="X2" t="str">
        <f t="shared" ref="X2" si="7">IF(J2&gt;0,CONCATENATE("[""",J$1,"""]=",J2,";"),"")</f>
        <v/>
      </c>
      <c r="Y2" t="str">
        <f t="shared" ref="Y2" si="8">IF(K2&gt;0,CONCATENATE("[""",K$1,"""]=",K2,";"),"")</f>
        <v/>
      </c>
    </row>
    <row r="3" spans="1:25" x14ac:dyDescent="0.25">
      <c r="B3" t="s">
        <v>516</v>
      </c>
      <c r="M3" t="str">
        <f t="shared" ref="M3:M66" si="9">IF(
  NOT(ISBLANK(A3)),
  N3,
  IF(
    NOT(ISBLANK(B3)),
    O3,
    CONCATENATE("[",ROW()-1,"]={",R3,S3,Q3,"};"," --",C3)
  )
)</f>
        <v>[2]={[1]="DIVIDER2"; [2]={["ENGLISH"] = "Fresh Rewards"; }; };</v>
      </c>
      <c r="N3" t="str">
        <f t="shared" ref="N3:N66" si="10">CONCATENATE("[",ROW()-1,"]={[1]=""DIVIDER1""; [2]={[""ENGLISH""] = """,A3,"""; }; ",P3,"};")</f>
        <v>[2]={[1]="DIVIDER1"; [2]={["ENGLISH"] = ""; }; };</v>
      </c>
      <c r="O3" t="str">
        <f t="shared" ref="O3:O66" si="11">CONCATENATE("[",ROW()-1,"]={[1]=""DIVIDER2""; [2]={[""ENGLISH""] = """,B3,"""; }; ",P3,"};")</f>
        <v>[2]={[1]="DIVIDER2"; [2]={["ENGLISH"] = "Fresh Rewards"; }; };</v>
      </c>
      <c r="P3" t="str">
        <f t="shared" ref="P3:P66" si="12">IF(LEN(L3)&gt;0,CONCATENATE("[""DIVIDER_HEIGHT""] = ",L3,";"),"")</f>
        <v/>
      </c>
      <c r="Q3" t="str">
        <f t="shared" ref="Q3:Q66" si="13">CONCATENATE("[1]=",D3,";")</f>
        <v>[1]=;</v>
      </c>
      <c r="R3" t="str">
        <f t="shared" ref="R3:R66" si="14">IF(E3&gt;0,CONCATENATE("[3]=",E3,";"),"")</f>
        <v/>
      </c>
      <c r="S3" t="str">
        <f t="shared" ref="S3:S66" si="15">_xlfn.TEXTJOIN("",TRUE,"[2]={",T3:Y3,"};")</f>
        <v>[2]={};</v>
      </c>
      <c r="T3" t="str">
        <f t="shared" ref="T3:T66" si="16">IF(F3&gt;0,CONCATENATE("[""",F$1,"""]=",F3,";"),"")</f>
        <v/>
      </c>
      <c r="U3" t="str">
        <f t="shared" ref="U3:U66" si="17">IF(G3&gt;0,CONCATENATE("[""",G$1,"""]=",G3,";"),"")</f>
        <v/>
      </c>
      <c r="V3" t="str">
        <f t="shared" ref="V3:V66" si="18">IF(H3&gt;0,CONCATENATE("[""",H$1,"""]=",H3,";"),"")</f>
        <v/>
      </c>
      <c r="W3" t="str">
        <f t="shared" ref="W3:W66" si="19">IF(I3&gt;0,CONCATENATE("[""",I$1,"""]=",I3,";"),"")</f>
        <v/>
      </c>
      <c r="X3" t="str">
        <f t="shared" ref="X3:X66" si="20">IF(J3&gt;0,CONCATENATE("[""",J$1,"""]=",J3,";"),"")</f>
        <v/>
      </c>
      <c r="Y3" t="str">
        <f t="shared" ref="Y3:Y66" si="21">IF(K3&gt;0,CONCATENATE("[""",K$1,"""]=",K3,";"),"")</f>
        <v/>
      </c>
    </row>
    <row r="4" spans="1:25" x14ac:dyDescent="0.25">
      <c r="C4" t="s">
        <v>514</v>
      </c>
      <c r="D4" s="1" t="s">
        <v>512</v>
      </c>
      <c r="F4">
        <v>15</v>
      </c>
      <c r="M4" t="str">
        <f t="shared" si="9"/>
        <v>[3]={[2]={["SPRING_FESTIVAL"]=15;};[1]=0x70074432;}; --Daffodil Celebration Garments - Gift-wrapped Selection Box</v>
      </c>
      <c r="N4" t="str">
        <f t="shared" si="10"/>
        <v>[3]={[1]="DIVIDER1"; [2]={["ENGLISH"] = ""; }; };</v>
      </c>
      <c r="O4" t="str">
        <f t="shared" si="11"/>
        <v>[3]={[1]="DIVIDER2"; [2]={["ENGLISH"] = ""; }; };</v>
      </c>
      <c r="P4" t="str">
        <f t="shared" si="12"/>
        <v/>
      </c>
      <c r="Q4" t="str">
        <f t="shared" si="13"/>
        <v>[1]=0x70074432;</v>
      </c>
      <c r="R4" t="str">
        <f t="shared" si="14"/>
        <v/>
      </c>
      <c r="S4" t="str">
        <f t="shared" si="15"/>
        <v>[2]={["SPRING_FESTIVAL"]=15;};</v>
      </c>
      <c r="T4" t="str">
        <f t="shared" si="16"/>
        <v>["SPRING_FESTIVAL"]=15;</v>
      </c>
      <c r="U4" t="str">
        <f t="shared" si="17"/>
        <v/>
      </c>
      <c r="V4" t="str">
        <f t="shared" si="18"/>
        <v/>
      </c>
      <c r="W4" t="str">
        <f t="shared" si="19"/>
        <v/>
      </c>
      <c r="X4" t="str">
        <f t="shared" si="20"/>
        <v/>
      </c>
      <c r="Y4" t="str">
        <f t="shared" si="21"/>
        <v/>
      </c>
    </row>
    <row r="5" spans="1:25" x14ac:dyDescent="0.25">
      <c r="C5" t="s">
        <v>447</v>
      </c>
      <c r="D5" s="1" t="s">
        <v>435</v>
      </c>
      <c r="F5">
        <v>15</v>
      </c>
      <c r="M5" t="str">
        <f t="shared" si="9"/>
        <v>[4]={[2]={["SPRING_FESTIVAL"]=15;};[1]=0x7007441F;}; --Daffodil Celebration Cloak</v>
      </c>
      <c r="N5" t="str">
        <f t="shared" si="10"/>
        <v>[4]={[1]="DIVIDER1"; [2]={["ENGLISH"] = ""; }; };</v>
      </c>
      <c r="O5" t="str">
        <f t="shared" si="11"/>
        <v>[4]={[1]="DIVIDER2"; [2]={["ENGLISH"] = ""; }; };</v>
      </c>
      <c r="P5" t="str">
        <f t="shared" si="12"/>
        <v/>
      </c>
      <c r="Q5" t="str">
        <f t="shared" si="13"/>
        <v>[1]=0x7007441F;</v>
      </c>
      <c r="R5" t="str">
        <f t="shared" si="14"/>
        <v/>
      </c>
      <c r="S5" t="str">
        <f t="shared" si="15"/>
        <v>[2]={["SPRING_FESTIVAL"]=15;};</v>
      </c>
      <c r="T5" t="str">
        <f t="shared" si="16"/>
        <v>["SPRING_FESTIVAL"]=15;</v>
      </c>
      <c r="U5" t="str">
        <f t="shared" si="17"/>
        <v/>
      </c>
      <c r="V5" t="str">
        <f t="shared" si="18"/>
        <v/>
      </c>
      <c r="W5" t="str">
        <f t="shared" si="19"/>
        <v/>
      </c>
      <c r="X5" t="str">
        <f t="shared" si="20"/>
        <v/>
      </c>
      <c r="Y5" t="str">
        <f t="shared" si="21"/>
        <v/>
      </c>
    </row>
    <row r="6" spans="1:25" x14ac:dyDescent="0.25">
      <c r="C6" t="s">
        <v>448</v>
      </c>
      <c r="D6" s="1" t="s">
        <v>436</v>
      </c>
      <c r="F6">
        <v>15</v>
      </c>
      <c r="M6" t="str">
        <f t="shared" si="9"/>
        <v>[5]={[2]={["SPRING_FESTIVAL"]=15;};[1]=0x7007441D;}; --Hooded Daffodil Celebration Cloak</v>
      </c>
      <c r="N6" t="str">
        <f t="shared" si="10"/>
        <v>[5]={[1]="DIVIDER1"; [2]={["ENGLISH"] = ""; }; };</v>
      </c>
      <c r="O6" t="str">
        <f t="shared" si="11"/>
        <v>[5]={[1]="DIVIDER2"; [2]={["ENGLISH"] = ""; }; };</v>
      </c>
      <c r="P6" t="str">
        <f t="shared" si="12"/>
        <v/>
      </c>
      <c r="Q6" t="str">
        <f t="shared" si="13"/>
        <v>[1]=0x7007441D;</v>
      </c>
      <c r="R6" t="str">
        <f t="shared" si="14"/>
        <v/>
      </c>
      <c r="S6" t="str">
        <f t="shared" si="15"/>
        <v>[2]={["SPRING_FESTIVAL"]=15;};</v>
      </c>
      <c r="T6" t="str">
        <f t="shared" si="16"/>
        <v>["SPRING_FESTIVAL"]=15;</v>
      </c>
      <c r="U6" t="str">
        <f t="shared" si="17"/>
        <v/>
      </c>
      <c r="V6" t="str">
        <f t="shared" si="18"/>
        <v/>
      </c>
      <c r="W6" t="str">
        <f t="shared" si="19"/>
        <v/>
      </c>
      <c r="X6" t="str">
        <f t="shared" si="20"/>
        <v/>
      </c>
      <c r="Y6" t="str">
        <f t="shared" si="21"/>
        <v/>
      </c>
    </row>
    <row r="7" spans="1:25" x14ac:dyDescent="0.25">
      <c r="C7" t="s">
        <v>449</v>
      </c>
      <c r="D7" s="1" t="s">
        <v>437</v>
      </c>
      <c r="F7">
        <v>15</v>
      </c>
      <c r="M7" t="str">
        <f t="shared" si="9"/>
        <v>[6]={[2]={["SPRING_FESTIVAL"]=15;};[1]=0x70074421;}; --Daffodil Celebration Hat</v>
      </c>
      <c r="N7" t="str">
        <f t="shared" si="10"/>
        <v>[6]={[1]="DIVIDER1"; [2]={["ENGLISH"] = ""; }; };</v>
      </c>
      <c r="O7" t="str">
        <f t="shared" si="11"/>
        <v>[6]={[1]="DIVIDER2"; [2]={["ENGLISH"] = ""; }; };</v>
      </c>
      <c r="P7" t="str">
        <f t="shared" si="12"/>
        <v/>
      </c>
      <c r="Q7" t="str">
        <f t="shared" si="13"/>
        <v>[1]=0x70074421;</v>
      </c>
      <c r="R7" t="str">
        <f t="shared" si="14"/>
        <v/>
      </c>
      <c r="S7" t="str">
        <f t="shared" si="15"/>
        <v>[2]={["SPRING_FESTIVAL"]=15;};</v>
      </c>
      <c r="T7" t="str">
        <f t="shared" si="16"/>
        <v>["SPRING_FESTIVAL"]=15;</v>
      </c>
      <c r="U7" t="str">
        <f t="shared" si="17"/>
        <v/>
      </c>
      <c r="V7" t="str">
        <f t="shared" si="18"/>
        <v/>
      </c>
      <c r="W7" t="str">
        <f t="shared" si="19"/>
        <v/>
      </c>
      <c r="X7" t="str">
        <f t="shared" si="20"/>
        <v/>
      </c>
      <c r="Y7" t="str">
        <f t="shared" si="21"/>
        <v/>
      </c>
    </row>
    <row r="8" spans="1:25" x14ac:dyDescent="0.25">
      <c r="C8" t="s">
        <v>450</v>
      </c>
      <c r="D8" s="1" t="s">
        <v>438</v>
      </c>
      <c r="F8">
        <v>15</v>
      </c>
      <c r="M8" t="str">
        <f t="shared" si="9"/>
        <v>[7]={[2]={["SPRING_FESTIVAL"]=15;};[1]=0x7007441E;}; --Daffodil Celebration Shawl</v>
      </c>
      <c r="N8" t="str">
        <f t="shared" si="10"/>
        <v>[7]={[1]="DIVIDER1"; [2]={["ENGLISH"] = ""; }; };</v>
      </c>
      <c r="O8" t="str">
        <f t="shared" si="11"/>
        <v>[7]={[1]="DIVIDER2"; [2]={["ENGLISH"] = ""; }; };</v>
      </c>
      <c r="P8" t="str">
        <f t="shared" si="12"/>
        <v/>
      </c>
      <c r="Q8" t="str">
        <f t="shared" si="13"/>
        <v>[1]=0x7007441E;</v>
      </c>
      <c r="R8" t="str">
        <f t="shared" si="14"/>
        <v/>
      </c>
      <c r="S8" t="str">
        <f t="shared" si="15"/>
        <v>[2]={["SPRING_FESTIVAL"]=15;};</v>
      </c>
      <c r="T8" t="str">
        <f t="shared" si="16"/>
        <v>["SPRING_FESTIVAL"]=15;</v>
      </c>
      <c r="U8" t="str">
        <f t="shared" si="17"/>
        <v/>
      </c>
      <c r="V8" t="str">
        <f t="shared" si="18"/>
        <v/>
      </c>
      <c r="W8" t="str">
        <f t="shared" si="19"/>
        <v/>
      </c>
      <c r="X8" t="str">
        <f t="shared" si="20"/>
        <v/>
      </c>
      <c r="Y8" t="str">
        <f t="shared" si="21"/>
        <v/>
      </c>
    </row>
    <row r="9" spans="1:25" x14ac:dyDescent="0.25">
      <c r="C9" t="s">
        <v>451</v>
      </c>
      <c r="D9" s="1" t="s">
        <v>439</v>
      </c>
      <c r="F9">
        <v>15</v>
      </c>
      <c r="M9" t="str">
        <f t="shared" si="9"/>
        <v>[8]={[2]={["SPRING_FESTIVAL"]=15;};[1]=0x7007441C;}; --Daffodil Celebration Tunic and Trousers</v>
      </c>
      <c r="N9" t="str">
        <f t="shared" si="10"/>
        <v>[8]={[1]="DIVIDER1"; [2]={["ENGLISH"] = ""; }; };</v>
      </c>
      <c r="O9" t="str">
        <f t="shared" si="11"/>
        <v>[8]={[1]="DIVIDER2"; [2]={["ENGLISH"] = ""; }; };</v>
      </c>
      <c r="P9" t="str">
        <f t="shared" si="12"/>
        <v/>
      </c>
      <c r="Q9" t="str">
        <f t="shared" si="13"/>
        <v>[1]=0x7007441C;</v>
      </c>
      <c r="R9" t="str">
        <f t="shared" si="14"/>
        <v/>
      </c>
      <c r="S9" t="str">
        <f t="shared" si="15"/>
        <v>[2]={["SPRING_FESTIVAL"]=15;};</v>
      </c>
      <c r="T9" t="str">
        <f t="shared" si="16"/>
        <v>["SPRING_FESTIVAL"]=15;</v>
      </c>
      <c r="U9" t="str">
        <f t="shared" si="17"/>
        <v/>
      </c>
      <c r="V9" t="str">
        <f t="shared" si="18"/>
        <v/>
      </c>
      <c r="W9" t="str">
        <f t="shared" si="19"/>
        <v/>
      </c>
      <c r="X9" t="str">
        <f t="shared" si="20"/>
        <v/>
      </c>
      <c r="Y9" t="str">
        <f t="shared" si="21"/>
        <v/>
      </c>
    </row>
    <row r="10" spans="1:25" x14ac:dyDescent="0.25">
      <c r="C10" t="s">
        <v>452</v>
      </c>
      <c r="D10" s="1" t="s">
        <v>440</v>
      </c>
      <c r="F10">
        <v>15</v>
      </c>
      <c r="M10" t="str">
        <f t="shared" si="9"/>
        <v>[9]={[2]={["SPRING_FESTIVAL"]=15;};[1]=0x70074420;}; --Daffodil Celebration Dress</v>
      </c>
      <c r="N10" t="str">
        <f t="shared" si="10"/>
        <v>[9]={[1]="DIVIDER1"; [2]={["ENGLISH"] = ""; }; };</v>
      </c>
      <c r="O10" t="str">
        <f t="shared" si="11"/>
        <v>[9]={[1]="DIVIDER2"; [2]={["ENGLISH"] = ""; }; };</v>
      </c>
      <c r="P10" t="str">
        <f t="shared" si="12"/>
        <v/>
      </c>
      <c r="Q10" t="str">
        <f t="shared" si="13"/>
        <v>[1]=0x70074420;</v>
      </c>
      <c r="R10" t="str">
        <f t="shared" si="14"/>
        <v/>
      </c>
      <c r="S10" t="str">
        <f t="shared" si="15"/>
        <v>[2]={["SPRING_FESTIVAL"]=15;};</v>
      </c>
      <c r="T10" t="str">
        <f t="shared" si="16"/>
        <v>["SPRING_FESTIVAL"]=15;</v>
      </c>
      <c r="U10" t="str">
        <f t="shared" si="17"/>
        <v/>
      </c>
      <c r="V10" t="str">
        <f t="shared" si="18"/>
        <v/>
      </c>
      <c r="W10" t="str">
        <f t="shared" si="19"/>
        <v/>
      </c>
      <c r="X10" t="str">
        <f t="shared" si="20"/>
        <v/>
      </c>
      <c r="Y10" t="str">
        <f t="shared" si="21"/>
        <v/>
      </c>
    </row>
    <row r="11" spans="1:25" x14ac:dyDescent="0.25">
      <c r="C11" t="s">
        <v>504</v>
      </c>
      <c r="D11" s="1" t="s">
        <v>502</v>
      </c>
      <c r="F11">
        <v>50</v>
      </c>
      <c r="M11" t="str">
        <f t="shared" si="9"/>
        <v>[10]={[2]={["SPRING_FESTIVAL"]=50;};[1]=0x7007442B;}; --Daffodil Celebration Goat</v>
      </c>
      <c r="N11" t="str">
        <f t="shared" si="10"/>
        <v>[10]={[1]="DIVIDER1"; [2]={["ENGLISH"] = ""; }; };</v>
      </c>
      <c r="O11" t="str">
        <f t="shared" si="11"/>
        <v>[10]={[1]="DIVIDER2"; [2]={["ENGLISH"] = ""; }; };</v>
      </c>
      <c r="P11" t="str">
        <f t="shared" si="12"/>
        <v/>
      </c>
      <c r="Q11" t="str">
        <f t="shared" si="13"/>
        <v>[1]=0x7007442B;</v>
      </c>
      <c r="R11" t="str">
        <f t="shared" si="14"/>
        <v/>
      </c>
      <c r="S11" t="str">
        <f t="shared" si="15"/>
        <v>[2]={["SPRING_FESTIVAL"]=50;};</v>
      </c>
      <c r="T11" t="str">
        <f t="shared" si="16"/>
        <v>["SPRING_FESTIVAL"]=50;</v>
      </c>
      <c r="U11" t="str">
        <f t="shared" si="17"/>
        <v/>
      </c>
      <c r="V11" t="str">
        <f t="shared" si="18"/>
        <v/>
      </c>
      <c r="W11" t="str">
        <f t="shared" si="19"/>
        <v/>
      </c>
      <c r="X11" t="str">
        <f t="shared" si="20"/>
        <v/>
      </c>
      <c r="Y11" t="str">
        <f t="shared" si="21"/>
        <v/>
      </c>
    </row>
    <row r="12" spans="1:25" x14ac:dyDescent="0.25">
      <c r="C12" t="s">
        <v>504</v>
      </c>
      <c r="D12" s="1" t="s">
        <v>502</v>
      </c>
      <c r="H12">
        <v>70</v>
      </c>
      <c r="M12" t="str">
        <f t="shared" si="9"/>
        <v>[11]={[2]={["GENERIC_MITHRIL"]=70;};[1]=0x7007442B;}; --Daffodil Celebration Goat</v>
      </c>
      <c r="N12" t="str">
        <f t="shared" si="10"/>
        <v>[11]={[1]="DIVIDER1"; [2]={["ENGLISH"] = ""; }; };</v>
      </c>
      <c r="O12" t="str">
        <f t="shared" si="11"/>
        <v>[11]={[1]="DIVIDER2"; [2]={["ENGLISH"] = ""; }; };</v>
      </c>
      <c r="P12" t="str">
        <f t="shared" si="12"/>
        <v/>
      </c>
      <c r="Q12" t="str">
        <f t="shared" si="13"/>
        <v>[1]=0x7007442B;</v>
      </c>
      <c r="R12" t="str">
        <f t="shared" si="14"/>
        <v/>
      </c>
      <c r="S12" t="str">
        <f t="shared" si="15"/>
        <v>[2]={["GENERIC_MITHRIL"]=70;};</v>
      </c>
      <c r="T12" t="str">
        <f t="shared" si="16"/>
        <v/>
      </c>
      <c r="U12" t="str">
        <f t="shared" si="17"/>
        <v/>
      </c>
      <c r="V12" t="str">
        <f t="shared" si="18"/>
        <v>["GENERIC_MITHRIL"]=70;</v>
      </c>
      <c r="W12" t="str">
        <f t="shared" si="19"/>
        <v/>
      </c>
      <c r="X12" t="str">
        <f t="shared" si="20"/>
        <v/>
      </c>
      <c r="Y12" t="str">
        <f t="shared" si="21"/>
        <v/>
      </c>
    </row>
    <row r="13" spans="1:25" x14ac:dyDescent="0.25">
      <c r="C13" t="s">
        <v>500</v>
      </c>
      <c r="D13" s="1" t="s">
        <v>498</v>
      </c>
      <c r="F13">
        <v>30</v>
      </c>
      <c r="M13" t="str">
        <f t="shared" si="9"/>
        <v>[12]={[2]={["SPRING_FESTIVAL"]=30;};[1]=0x70074451;}; --Daffodil Green Thumb Bauble</v>
      </c>
      <c r="N13" t="str">
        <f t="shared" si="10"/>
        <v>[12]={[1]="DIVIDER1"; [2]={["ENGLISH"] = ""; }; };</v>
      </c>
      <c r="O13" t="str">
        <f t="shared" si="11"/>
        <v>[12]={[1]="DIVIDER2"; [2]={["ENGLISH"] = ""; }; };</v>
      </c>
      <c r="P13" t="str">
        <f t="shared" si="12"/>
        <v/>
      </c>
      <c r="Q13" t="str">
        <f t="shared" si="13"/>
        <v>[1]=0x70074451;</v>
      </c>
      <c r="R13" t="str">
        <f t="shared" si="14"/>
        <v/>
      </c>
      <c r="S13" t="str">
        <f t="shared" si="15"/>
        <v>[2]={["SPRING_FESTIVAL"]=30;};</v>
      </c>
      <c r="T13" t="str">
        <f t="shared" si="16"/>
        <v>["SPRING_FESTIVAL"]=30;</v>
      </c>
      <c r="U13" t="str">
        <f t="shared" si="17"/>
        <v/>
      </c>
      <c r="V13" t="str">
        <f t="shared" si="18"/>
        <v/>
      </c>
      <c r="W13" t="str">
        <f t="shared" si="19"/>
        <v/>
      </c>
      <c r="X13" t="str">
        <f t="shared" si="20"/>
        <v/>
      </c>
      <c r="Y13" t="str">
        <f t="shared" si="21"/>
        <v/>
      </c>
    </row>
    <row r="14" spans="1:25" x14ac:dyDescent="0.25">
      <c r="C14" t="s">
        <v>501</v>
      </c>
      <c r="D14" s="1" t="s">
        <v>499</v>
      </c>
      <c r="F14">
        <v>30</v>
      </c>
      <c r="M14" t="str">
        <f t="shared" si="9"/>
        <v>[13]={[2]={["SPRING_FESTIVAL"]=30;};[1]=0x70074430;}; --Stoor Dance Emote</v>
      </c>
      <c r="N14" t="str">
        <f t="shared" si="10"/>
        <v>[13]={[1]="DIVIDER1"; [2]={["ENGLISH"] = ""; }; };</v>
      </c>
      <c r="O14" t="str">
        <f t="shared" si="11"/>
        <v>[13]={[1]="DIVIDER2"; [2]={["ENGLISH"] = ""; }; };</v>
      </c>
      <c r="P14" t="str">
        <f t="shared" si="12"/>
        <v/>
      </c>
      <c r="Q14" t="str">
        <f t="shared" si="13"/>
        <v>[1]=0x70074430;</v>
      </c>
      <c r="R14" t="str">
        <f t="shared" si="14"/>
        <v/>
      </c>
      <c r="S14" t="str">
        <f t="shared" si="15"/>
        <v>[2]={["SPRING_FESTIVAL"]=30;};</v>
      </c>
      <c r="T14" t="str">
        <f t="shared" si="16"/>
        <v>["SPRING_FESTIVAL"]=30;</v>
      </c>
      <c r="U14" t="str">
        <f t="shared" si="17"/>
        <v/>
      </c>
      <c r="V14" t="str">
        <f t="shared" si="18"/>
        <v/>
      </c>
      <c r="W14" t="str">
        <f t="shared" si="19"/>
        <v/>
      </c>
      <c r="X14" t="str">
        <f t="shared" si="20"/>
        <v/>
      </c>
      <c r="Y14" t="str">
        <f t="shared" si="21"/>
        <v/>
      </c>
    </row>
    <row r="15" spans="1:25" x14ac:dyDescent="0.25">
      <c r="C15" t="s">
        <v>509</v>
      </c>
      <c r="D15" s="1" t="s">
        <v>506</v>
      </c>
      <c r="F15">
        <v>25</v>
      </c>
      <c r="M15" t="str">
        <f t="shared" si="9"/>
        <v>[14]={[2]={["SPRING_FESTIVAL"]=25;};[1]=0x7006544C;}; --Tome of the Tawny Aurochs</v>
      </c>
      <c r="N15" t="str">
        <f t="shared" si="10"/>
        <v>[14]={[1]="DIVIDER1"; [2]={["ENGLISH"] = ""; }; };</v>
      </c>
      <c r="O15" t="str">
        <f t="shared" si="11"/>
        <v>[14]={[1]="DIVIDER2"; [2]={["ENGLISH"] = ""; }; };</v>
      </c>
      <c r="P15" t="str">
        <f t="shared" si="12"/>
        <v/>
      </c>
      <c r="Q15" t="str">
        <f t="shared" si="13"/>
        <v>[1]=0x7006544C;</v>
      </c>
      <c r="R15" t="str">
        <f t="shared" si="14"/>
        <v/>
      </c>
      <c r="S15" t="str">
        <f t="shared" si="15"/>
        <v>[2]={["SPRING_FESTIVAL"]=25;};</v>
      </c>
      <c r="T15" t="str">
        <f t="shared" si="16"/>
        <v>["SPRING_FESTIVAL"]=25;</v>
      </c>
      <c r="U15" t="str">
        <f t="shared" si="17"/>
        <v/>
      </c>
      <c r="V15" t="str">
        <f t="shared" si="18"/>
        <v/>
      </c>
      <c r="W15" t="str">
        <f t="shared" si="19"/>
        <v/>
      </c>
      <c r="X15" t="str">
        <f t="shared" si="20"/>
        <v/>
      </c>
      <c r="Y15" t="str">
        <f t="shared" si="21"/>
        <v/>
      </c>
    </row>
    <row r="16" spans="1:25" x14ac:dyDescent="0.25">
      <c r="C16" t="s">
        <v>510</v>
      </c>
      <c r="D16" s="1" t="s">
        <v>507</v>
      </c>
      <c r="G16">
        <v>25</v>
      </c>
      <c r="M16" t="str">
        <f t="shared" si="9"/>
        <v>[15]={[2]={["GENERIC_FESTIVITY"]=25;};[1]=0x70074426;}; --Tome of the Daffodil Celebration Kid</v>
      </c>
      <c r="N16" t="str">
        <f t="shared" si="10"/>
        <v>[15]={[1]="DIVIDER1"; [2]={["ENGLISH"] = ""; }; };</v>
      </c>
      <c r="O16" t="str">
        <f t="shared" si="11"/>
        <v>[15]={[1]="DIVIDER2"; [2]={["ENGLISH"] = ""; }; };</v>
      </c>
      <c r="P16" t="str">
        <f t="shared" si="12"/>
        <v/>
      </c>
      <c r="Q16" t="str">
        <f t="shared" si="13"/>
        <v>[1]=0x70074426;</v>
      </c>
      <c r="R16" t="str">
        <f t="shared" si="14"/>
        <v/>
      </c>
      <c r="S16" t="str">
        <f t="shared" si="15"/>
        <v>[2]={["GENERIC_FESTIVITY"]=25;};</v>
      </c>
      <c r="T16" t="str">
        <f t="shared" si="16"/>
        <v/>
      </c>
      <c r="U16" t="str">
        <f t="shared" si="17"/>
        <v>["GENERIC_FESTIVITY"]=25;</v>
      </c>
      <c r="V16" t="str">
        <f t="shared" si="18"/>
        <v/>
      </c>
      <c r="W16" t="str">
        <f t="shared" si="19"/>
        <v/>
      </c>
      <c r="X16" t="str">
        <f t="shared" si="20"/>
        <v/>
      </c>
      <c r="Y16" t="str">
        <f t="shared" si="21"/>
        <v/>
      </c>
    </row>
    <row r="17" spans="3:25" x14ac:dyDescent="0.25">
      <c r="C17" t="s">
        <v>510</v>
      </c>
      <c r="D17" s="1" t="s">
        <v>507</v>
      </c>
      <c r="H17">
        <v>30</v>
      </c>
      <c r="M17" t="str">
        <f t="shared" si="9"/>
        <v>[16]={[2]={["GENERIC_MITHRIL"]=30;};[1]=0x70074426;}; --Tome of the Daffodil Celebration Kid</v>
      </c>
      <c r="N17" t="str">
        <f t="shared" si="10"/>
        <v>[16]={[1]="DIVIDER1"; [2]={["ENGLISH"] = ""; }; };</v>
      </c>
      <c r="O17" t="str">
        <f t="shared" si="11"/>
        <v>[16]={[1]="DIVIDER2"; [2]={["ENGLISH"] = ""; }; };</v>
      </c>
      <c r="P17" t="str">
        <f t="shared" si="12"/>
        <v/>
      </c>
      <c r="Q17" t="str">
        <f t="shared" si="13"/>
        <v>[1]=0x70074426;</v>
      </c>
      <c r="R17" t="str">
        <f t="shared" si="14"/>
        <v/>
      </c>
      <c r="S17" t="str">
        <f t="shared" si="15"/>
        <v>[2]={["GENERIC_MITHRIL"]=30;};</v>
      </c>
      <c r="T17" t="str">
        <f t="shared" si="16"/>
        <v/>
      </c>
      <c r="U17" t="str">
        <f t="shared" si="17"/>
        <v/>
      </c>
      <c r="V17" t="str">
        <f t="shared" si="18"/>
        <v>["GENERIC_MITHRIL"]=30;</v>
      </c>
      <c r="W17" t="str">
        <f t="shared" si="19"/>
        <v/>
      </c>
      <c r="X17" t="str">
        <f t="shared" si="20"/>
        <v/>
      </c>
      <c r="Y17" t="str">
        <f t="shared" si="21"/>
        <v/>
      </c>
    </row>
    <row r="18" spans="3:25" x14ac:dyDescent="0.25">
      <c r="C18" t="s">
        <v>519</v>
      </c>
      <c r="D18" s="1" t="s">
        <v>517</v>
      </c>
      <c r="G18">
        <v>35</v>
      </c>
      <c r="M18" t="str">
        <f t="shared" si="9"/>
        <v>[17]={[2]={["GENERIC_FESTIVITY"]=35;};[1]=0x70074450;}; --Daffodil Flag-bearer Bauble</v>
      </c>
      <c r="N18" t="str">
        <f t="shared" si="10"/>
        <v>[17]={[1]="DIVIDER1"; [2]={["ENGLISH"] = ""; }; };</v>
      </c>
      <c r="O18" t="str">
        <f t="shared" si="11"/>
        <v>[17]={[1]="DIVIDER2"; [2]={["ENGLISH"] = ""; }; };</v>
      </c>
      <c r="P18" t="str">
        <f t="shared" si="12"/>
        <v/>
      </c>
      <c r="Q18" t="str">
        <f t="shared" si="13"/>
        <v>[1]=0x70074450;</v>
      </c>
      <c r="R18" t="str">
        <f t="shared" si="14"/>
        <v/>
      </c>
      <c r="S18" t="str">
        <f t="shared" si="15"/>
        <v>[2]={["GENERIC_FESTIVITY"]=35;};</v>
      </c>
      <c r="T18" t="str">
        <f t="shared" si="16"/>
        <v/>
      </c>
      <c r="U18" t="str">
        <f t="shared" si="17"/>
        <v>["GENERIC_FESTIVITY"]=35;</v>
      </c>
      <c r="V18" t="str">
        <f t="shared" si="18"/>
        <v/>
      </c>
      <c r="W18" t="str">
        <f t="shared" si="19"/>
        <v/>
      </c>
      <c r="X18" t="str">
        <f t="shared" si="20"/>
        <v/>
      </c>
      <c r="Y18" t="str">
        <f t="shared" si="21"/>
        <v/>
      </c>
    </row>
    <row r="19" spans="3:25" x14ac:dyDescent="0.25">
      <c r="C19" t="s">
        <v>520</v>
      </c>
      <c r="D19" s="1" t="s">
        <v>518</v>
      </c>
      <c r="G19">
        <v>15</v>
      </c>
      <c r="M19" t="str">
        <f t="shared" si="9"/>
        <v>[18]={[2]={["GENERIC_FESTIVITY"]=15;};[1]=0x7007444C;}; --Large Daffodil Celebration Banner</v>
      </c>
      <c r="N19" t="str">
        <f t="shared" si="10"/>
        <v>[18]={[1]="DIVIDER1"; [2]={["ENGLISH"] = ""; }; };</v>
      </c>
      <c r="O19" t="str">
        <f t="shared" si="11"/>
        <v>[18]={[1]="DIVIDER2"; [2]={["ENGLISH"] = ""; }; };</v>
      </c>
      <c r="P19" t="str">
        <f t="shared" si="12"/>
        <v/>
      </c>
      <c r="Q19" t="str">
        <f t="shared" si="13"/>
        <v>[1]=0x7007444C;</v>
      </c>
      <c r="R19" t="str">
        <f t="shared" si="14"/>
        <v/>
      </c>
      <c r="S19" t="str">
        <f t="shared" si="15"/>
        <v>[2]={["GENERIC_FESTIVITY"]=15;};</v>
      </c>
      <c r="T19" t="str">
        <f t="shared" si="16"/>
        <v/>
      </c>
      <c r="U19" t="str">
        <f t="shared" si="17"/>
        <v>["GENERIC_FESTIVITY"]=15;</v>
      </c>
      <c r="V19" t="str">
        <f t="shared" si="18"/>
        <v/>
      </c>
      <c r="W19" t="str">
        <f t="shared" si="19"/>
        <v/>
      </c>
      <c r="X19" t="str">
        <f t="shared" si="20"/>
        <v/>
      </c>
      <c r="Y19" t="str">
        <f t="shared" si="21"/>
        <v/>
      </c>
    </row>
    <row r="20" spans="3:25" x14ac:dyDescent="0.25">
      <c r="C20" t="s">
        <v>479</v>
      </c>
      <c r="D20" s="1" t="s">
        <v>460</v>
      </c>
      <c r="F20">
        <v>5</v>
      </c>
      <c r="M20" t="str">
        <f t="shared" si="9"/>
        <v>[19]={[2]={["SPRING_FESTIVAL"]=5;};[1]=0x700743B3;}; --'Spring in Clegur' Theme</v>
      </c>
      <c r="N20" t="str">
        <f t="shared" si="10"/>
        <v>[19]={[1]="DIVIDER1"; [2]={["ENGLISH"] = ""; }; };</v>
      </c>
      <c r="O20" t="str">
        <f t="shared" si="11"/>
        <v>[19]={[1]="DIVIDER2"; [2]={["ENGLISH"] = ""; }; };</v>
      </c>
      <c r="P20" t="str">
        <f t="shared" si="12"/>
        <v/>
      </c>
      <c r="Q20" t="str">
        <f t="shared" si="13"/>
        <v>[1]=0x700743B3;</v>
      </c>
      <c r="R20" t="str">
        <f t="shared" si="14"/>
        <v/>
      </c>
      <c r="S20" t="str">
        <f t="shared" si="15"/>
        <v>[2]={["SPRING_FESTIVAL"]=5;};</v>
      </c>
      <c r="T20" t="str">
        <f t="shared" si="16"/>
        <v>["SPRING_FESTIVAL"]=5;</v>
      </c>
      <c r="U20" t="str">
        <f t="shared" si="17"/>
        <v/>
      </c>
      <c r="V20" t="str">
        <f t="shared" si="18"/>
        <v/>
      </c>
      <c r="W20" t="str">
        <f t="shared" si="19"/>
        <v/>
      </c>
      <c r="X20" t="str">
        <f t="shared" si="20"/>
        <v/>
      </c>
      <c r="Y20" t="str">
        <f t="shared" si="21"/>
        <v/>
      </c>
    </row>
    <row r="21" spans="3:25" x14ac:dyDescent="0.25">
      <c r="C21" t="s">
        <v>480</v>
      </c>
      <c r="D21" s="1" t="s">
        <v>461</v>
      </c>
      <c r="F21">
        <v>10</v>
      </c>
      <c r="M21" t="str">
        <f t="shared" si="9"/>
        <v>[20]={[2]={["SPRING_FESTIVAL"]=10;};[1]=0x70074448;}; --Small Daffodil Celebration Banner</v>
      </c>
      <c r="N21" t="str">
        <f t="shared" si="10"/>
        <v>[20]={[1]="DIVIDER1"; [2]={["ENGLISH"] = ""; }; };</v>
      </c>
      <c r="O21" t="str">
        <f t="shared" si="11"/>
        <v>[20]={[1]="DIVIDER2"; [2]={["ENGLISH"] = ""; }; };</v>
      </c>
      <c r="P21" t="str">
        <f t="shared" si="12"/>
        <v/>
      </c>
      <c r="Q21" t="str">
        <f t="shared" si="13"/>
        <v>[1]=0x70074448;</v>
      </c>
      <c r="R21" t="str">
        <f t="shared" si="14"/>
        <v/>
      </c>
      <c r="S21" t="str">
        <f t="shared" si="15"/>
        <v>[2]={["SPRING_FESTIVAL"]=10;};</v>
      </c>
      <c r="T21" t="str">
        <f t="shared" si="16"/>
        <v>["SPRING_FESTIVAL"]=10;</v>
      </c>
      <c r="U21" t="str">
        <f t="shared" si="17"/>
        <v/>
      </c>
      <c r="V21" t="str">
        <f t="shared" si="18"/>
        <v/>
      </c>
      <c r="W21" t="str">
        <f t="shared" si="19"/>
        <v/>
      </c>
      <c r="X21" t="str">
        <f t="shared" si="20"/>
        <v/>
      </c>
      <c r="Y21" t="str">
        <f t="shared" si="21"/>
        <v/>
      </c>
    </row>
    <row r="22" spans="3:25" x14ac:dyDescent="0.25">
      <c r="C22" t="s">
        <v>481</v>
      </c>
      <c r="D22" s="1" t="s">
        <v>462</v>
      </c>
      <c r="F22">
        <v>10</v>
      </c>
      <c r="M22" t="str">
        <f t="shared" si="9"/>
        <v>[21]={[2]={["SPRING_FESTIVAL"]=10;};[1]=0x70074449;}; --Daffodil Planter</v>
      </c>
      <c r="N22" t="str">
        <f t="shared" si="10"/>
        <v>[21]={[1]="DIVIDER1"; [2]={["ENGLISH"] = ""; }; };</v>
      </c>
      <c r="O22" t="str">
        <f t="shared" si="11"/>
        <v>[21]={[1]="DIVIDER2"; [2]={["ENGLISH"] = ""; }; };</v>
      </c>
      <c r="P22" t="str">
        <f t="shared" si="12"/>
        <v/>
      </c>
      <c r="Q22" t="str">
        <f t="shared" si="13"/>
        <v>[1]=0x70074449;</v>
      </c>
      <c r="R22" t="str">
        <f t="shared" si="14"/>
        <v/>
      </c>
      <c r="S22" t="str">
        <f t="shared" si="15"/>
        <v>[2]={["SPRING_FESTIVAL"]=10;};</v>
      </c>
      <c r="T22" t="str">
        <f t="shared" si="16"/>
        <v>["SPRING_FESTIVAL"]=10;</v>
      </c>
      <c r="U22" t="str">
        <f t="shared" si="17"/>
        <v/>
      </c>
      <c r="V22" t="str">
        <f t="shared" si="18"/>
        <v/>
      </c>
      <c r="W22" t="str">
        <f t="shared" si="19"/>
        <v/>
      </c>
      <c r="X22" t="str">
        <f t="shared" si="20"/>
        <v/>
      </c>
      <c r="Y22" t="str">
        <f t="shared" si="21"/>
        <v/>
      </c>
    </row>
    <row r="23" spans="3:25" x14ac:dyDescent="0.25">
      <c r="C23" t="s">
        <v>482</v>
      </c>
      <c r="D23" s="1" t="s">
        <v>463</v>
      </c>
      <c r="F23">
        <v>8</v>
      </c>
      <c r="M23" t="str">
        <f t="shared" si="9"/>
        <v>[22]={[2]={["SPRING_FESTIVAL"]=8;};[1]=0x7007444A;}; --Small Bulb Planter</v>
      </c>
      <c r="N23" t="str">
        <f t="shared" si="10"/>
        <v>[22]={[1]="DIVIDER1"; [2]={["ENGLISH"] = ""; }; };</v>
      </c>
      <c r="O23" t="str">
        <f t="shared" si="11"/>
        <v>[22]={[1]="DIVIDER2"; [2]={["ENGLISH"] = ""; }; };</v>
      </c>
      <c r="P23" t="str">
        <f t="shared" si="12"/>
        <v/>
      </c>
      <c r="Q23" t="str">
        <f t="shared" si="13"/>
        <v>[1]=0x7007444A;</v>
      </c>
      <c r="R23" t="str">
        <f t="shared" si="14"/>
        <v/>
      </c>
      <c r="S23" t="str">
        <f t="shared" si="15"/>
        <v>[2]={["SPRING_FESTIVAL"]=8;};</v>
      </c>
      <c r="T23" t="str">
        <f t="shared" si="16"/>
        <v>["SPRING_FESTIVAL"]=8;</v>
      </c>
      <c r="U23" t="str">
        <f t="shared" si="17"/>
        <v/>
      </c>
      <c r="V23" t="str">
        <f t="shared" si="18"/>
        <v/>
      </c>
      <c r="W23" t="str">
        <f t="shared" si="19"/>
        <v/>
      </c>
      <c r="X23" t="str">
        <f t="shared" si="20"/>
        <v/>
      </c>
      <c r="Y23" t="str">
        <f t="shared" si="21"/>
        <v/>
      </c>
    </row>
    <row r="24" spans="3:25" x14ac:dyDescent="0.25">
      <c r="C24" t="s">
        <v>483</v>
      </c>
      <c r="D24" s="1" t="s">
        <v>464</v>
      </c>
      <c r="F24">
        <v>5</v>
      </c>
      <c r="M24" t="str">
        <f t="shared" si="9"/>
        <v>[23]={[2]={["SPRING_FESTIVAL"]=5;};[1]=0x7007444B;}; --Empty Daffodil Planter</v>
      </c>
      <c r="N24" t="str">
        <f t="shared" si="10"/>
        <v>[23]={[1]="DIVIDER1"; [2]={["ENGLISH"] = ""; }; };</v>
      </c>
      <c r="O24" t="str">
        <f t="shared" si="11"/>
        <v>[23]={[1]="DIVIDER2"; [2]={["ENGLISH"] = ""; }; };</v>
      </c>
      <c r="P24" t="str">
        <f t="shared" si="12"/>
        <v/>
      </c>
      <c r="Q24" t="str">
        <f t="shared" si="13"/>
        <v>[1]=0x7007444B;</v>
      </c>
      <c r="R24" t="str">
        <f t="shared" si="14"/>
        <v/>
      </c>
      <c r="S24" t="str">
        <f t="shared" si="15"/>
        <v>[2]={["SPRING_FESTIVAL"]=5;};</v>
      </c>
      <c r="T24" t="str">
        <f t="shared" si="16"/>
        <v>["SPRING_FESTIVAL"]=5;</v>
      </c>
      <c r="U24" t="str">
        <f t="shared" si="17"/>
        <v/>
      </c>
      <c r="V24" t="str">
        <f t="shared" si="18"/>
        <v/>
      </c>
      <c r="W24" t="str">
        <f t="shared" si="19"/>
        <v/>
      </c>
      <c r="X24" t="str">
        <f t="shared" si="20"/>
        <v/>
      </c>
      <c r="Y24" t="str">
        <f t="shared" si="21"/>
        <v/>
      </c>
    </row>
    <row r="25" spans="3:25" x14ac:dyDescent="0.25">
      <c r="C25" t="s">
        <v>484</v>
      </c>
      <c r="D25" s="1" t="s">
        <v>465</v>
      </c>
      <c r="F25">
        <v>5</v>
      </c>
      <c r="M25" t="str">
        <f t="shared" si="9"/>
        <v>[24]={[2]={["SPRING_FESTIVAL"]=5;};[1]=0x70074446;}; --Daffodil Plant</v>
      </c>
      <c r="N25" t="str">
        <f t="shared" si="10"/>
        <v>[24]={[1]="DIVIDER1"; [2]={["ENGLISH"] = ""; }; };</v>
      </c>
      <c r="O25" t="str">
        <f t="shared" si="11"/>
        <v>[24]={[1]="DIVIDER2"; [2]={["ENGLISH"] = ""; }; };</v>
      </c>
      <c r="P25" t="str">
        <f t="shared" si="12"/>
        <v/>
      </c>
      <c r="Q25" t="str">
        <f t="shared" si="13"/>
        <v>[1]=0x70074446;</v>
      </c>
      <c r="R25" t="str">
        <f t="shared" si="14"/>
        <v/>
      </c>
      <c r="S25" t="str">
        <f t="shared" si="15"/>
        <v>[2]={["SPRING_FESTIVAL"]=5;};</v>
      </c>
      <c r="T25" t="str">
        <f t="shared" si="16"/>
        <v>["SPRING_FESTIVAL"]=5;</v>
      </c>
      <c r="U25" t="str">
        <f t="shared" si="17"/>
        <v/>
      </c>
      <c r="V25" t="str">
        <f t="shared" si="18"/>
        <v/>
      </c>
      <c r="W25" t="str">
        <f t="shared" si="19"/>
        <v/>
      </c>
      <c r="X25" t="str">
        <f t="shared" si="20"/>
        <v/>
      </c>
      <c r="Y25" t="str">
        <f t="shared" si="21"/>
        <v/>
      </c>
    </row>
    <row r="26" spans="3:25" x14ac:dyDescent="0.25">
      <c r="C26" t="s">
        <v>485</v>
      </c>
      <c r="D26" s="1" t="s">
        <v>466</v>
      </c>
      <c r="F26">
        <v>13</v>
      </c>
      <c r="M26" t="str">
        <f t="shared" si="9"/>
        <v>[25]={[2]={["SPRING_FESTIVAL"]=13;};[1]=0x70074447;}; --Cluster of Daffodils</v>
      </c>
      <c r="N26" t="str">
        <f t="shared" si="10"/>
        <v>[25]={[1]="DIVIDER1"; [2]={["ENGLISH"] = ""; }; };</v>
      </c>
      <c r="O26" t="str">
        <f t="shared" si="11"/>
        <v>[25]={[1]="DIVIDER2"; [2]={["ENGLISH"] = ""; }; };</v>
      </c>
      <c r="P26" t="str">
        <f t="shared" si="12"/>
        <v/>
      </c>
      <c r="Q26" t="str">
        <f t="shared" si="13"/>
        <v>[1]=0x70074447;</v>
      </c>
      <c r="R26" t="str">
        <f t="shared" si="14"/>
        <v/>
      </c>
      <c r="S26" t="str">
        <f t="shared" si="15"/>
        <v>[2]={["SPRING_FESTIVAL"]=13;};</v>
      </c>
      <c r="T26" t="str">
        <f t="shared" si="16"/>
        <v>["SPRING_FESTIVAL"]=13;</v>
      </c>
      <c r="U26" t="str">
        <f t="shared" si="17"/>
        <v/>
      </c>
      <c r="V26" t="str">
        <f t="shared" si="18"/>
        <v/>
      </c>
      <c r="W26" t="str">
        <f t="shared" si="19"/>
        <v/>
      </c>
      <c r="X26" t="str">
        <f t="shared" si="20"/>
        <v/>
      </c>
      <c r="Y26" t="str">
        <f t="shared" si="21"/>
        <v/>
      </c>
    </row>
    <row r="27" spans="3:25" x14ac:dyDescent="0.25">
      <c r="C27" t="s">
        <v>486</v>
      </c>
      <c r="D27" s="1" t="s">
        <v>467</v>
      </c>
      <c r="F27">
        <v>13</v>
      </c>
      <c r="M27" t="str">
        <f t="shared" si="9"/>
        <v>[26]={[2]={["SPRING_FESTIVAL"]=13;};[1]=0x70063EBC;}; --Pristine Ringforge Wall</v>
      </c>
      <c r="N27" t="str">
        <f t="shared" si="10"/>
        <v>[26]={[1]="DIVIDER1"; [2]={["ENGLISH"] = ""; }; };</v>
      </c>
      <c r="O27" t="str">
        <f t="shared" si="11"/>
        <v>[26]={[1]="DIVIDER2"; [2]={["ENGLISH"] = ""; }; };</v>
      </c>
      <c r="P27" t="str">
        <f t="shared" si="12"/>
        <v/>
      </c>
      <c r="Q27" t="str">
        <f t="shared" si="13"/>
        <v>[1]=0x70063EBC;</v>
      </c>
      <c r="R27" t="str">
        <f t="shared" si="14"/>
        <v/>
      </c>
      <c r="S27" t="str">
        <f t="shared" si="15"/>
        <v>[2]={["SPRING_FESTIVAL"]=13;};</v>
      </c>
      <c r="T27" t="str">
        <f t="shared" si="16"/>
        <v>["SPRING_FESTIVAL"]=13;</v>
      </c>
      <c r="U27" t="str">
        <f t="shared" si="17"/>
        <v/>
      </c>
      <c r="V27" t="str">
        <f t="shared" si="18"/>
        <v/>
      </c>
      <c r="W27" t="str">
        <f t="shared" si="19"/>
        <v/>
      </c>
      <c r="X27" t="str">
        <f t="shared" si="20"/>
        <v/>
      </c>
      <c r="Y27" t="str">
        <f t="shared" si="21"/>
        <v/>
      </c>
    </row>
    <row r="28" spans="3:25" x14ac:dyDescent="0.25">
      <c r="C28" t="s">
        <v>487</v>
      </c>
      <c r="D28" s="1" t="s">
        <v>468</v>
      </c>
      <c r="F28">
        <v>8</v>
      </c>
      <c r="M28" t="str">
        <f t="shared" si="9"/>
        <v>[27]={[2]={["SPRING_FESTIVAL"]=8;};[1]=0x70063EC6;}; --Decorative Wall - 10M (Pristine Ringforge)</v>
      </c>
      <c r="N28" t="str">
        <f t="shared" si="10"/>
        <v>[27]={[1]="DIVIDER1"; [2]={["ENGLISH"] = ""; }; };</v>
      </c>
      <c r="O28" t="str">
        <f t="shared" si="11"/>
        <v>[27]={[1]="DIVIDER2"; [2]={["ENGLISH"] = ""; }; };</v>
      </c>
      <c r="P28" t="str">
        <f t="shared" si="12"/>
        <v/>
      </c>
      <c r="Q28" t="str">
        <f t="shared" si="13"/>
        <v>[1]=0x70063EC6;</v>
      </c>
      <c r="R28" t="str">
        <f t="shared" si="14"/>
        <v/>
      </c>
      <c r="S28" t="str">
        <f t="shared" si="15"/>
        <v>[2]={["SPRING_FESTIVAL"]=8;};</v>
      </c>
      <c r="T28" t="str">
        <f t="shared" si="16"/>
        <v>["SPRING_FESTIVAL"]=8;</v>
      </c>
      <c r="U28" t="str">
        <f t="shared" si="17"/>
        <v/>
      </c>
      <c r="V28" t="str">
        <f t="shared" si="18"/>
        <v/>
      </c>
      <c r="W28" t="str">
        <f t="shared" si="19"/>
        <v/>
      </c>
      <c r="X28" t="str">
        <f t="shared" si="20"/>
        <v/>
      </c>
      <c r="Y28" t="str">
        <f t="shared" si="21"/>
        <v/>
      </c>
    </row>
    <row r="29" spans="3:25" x14ac:dyDescent="0.25">
      <c r="C29" t="s">
        <v>488</v>
      </c>
      <c r="D29" s="1" t="s">
        <v>469</v>
      </c>
      <c r="F29">
        <v>8</v>
      </c>
      <c r="M29" t="str">
        <f t="shared" si="9"/>
        <v>[28]={[2]={["SPRING_FESTIVAL"]=8;};[1]=0x70063EC7;}; --Decorative Wall - 20M (Pristine Ringforge)</v>
      </c>
      <c r="N29" t="str">
        <f t="shared" si="10"/>
        <v>[28]={[1]="DIVIDER1"; [2]={["ENGLISH"] = ""; }; };</v>
      </c>
      <c r="O29" t="str">
        <f t="shared" si="11"/>
        <v>[28]={[1]="DIVIDER2"; [2]={["ENGLISH"] = ""; }; };</v>
      </c>
      <c r="P29" t="str">
        <f t="shared" si="12"/>
        <v/>
      </c>
      <c r="Q29" t="str">
        <f t="shared" si="13"/>
        <v>[1]=0x70063EC7;</v>
      </c>
      <c r="R29" t="str">
        <f t="shared" si="14"/>
        <v/>
      </c>
      <c r="S29" t="str">
        <f t="shared" si="15"/>
        <v>[2]={["SPRING_FESTIVAL"]=8;};</v>
      </c>
      <c r="T29" t="str">
        <f t="shared" si="16"/>
        <v>["SPRING_FESTIVAL"]=8;</v>
      </c>
      <c r="U29" t="str">
        <f t="shared" si="17"/>
        <v/>
      </c>
      <c r="V29" t="str">
        <f t="shared" si="18"/>
        <v/>
      </c>
      <c r="W29" t="str">
        <f t="shared" si="19"/>
        <v/>
      </c>
      <c r="X29" t="str">
        <f t="shared" si="20"/>
        <v/>
      </c>
      <c r="Y29" t="str">
        <f t="shared" si="21"/>
        <v/>
      </c>
    </row>
    <row r="30" spans="3:25" x14ac:dyDescent="0.25">
      <c r="C30" t="s">
        <v>489</v>
      </c>
      <c r="D30" s="1" t="s">
        <v>470</v>
      </c>
      <c r="F30">
        <v>8</v>
      </c>
      <c r="M30" t="str">
        <f t="shared" si="9"/>
        <v>[29]={[2]={["SPRING_FESTIVAL"]=8;};[1]=0x70063EC8;}; --Tall Decorative Wall - 10M (Pristine Ringforge)</v>
      </c>
      <c r="N30" t="str">
        <f t="shared" si="10"/>
        <v>[29]={[1]="DIVIDER1"; [2]={["ENGLISH"] = ""; }; };</v>
      </c>
      <c r="O30" t="str">
        <f t="shared" si="11"/>
        <v>[29]={[1]="DIVIDER2"; [2]={["ENGLISH"] = ""; }; };</v>
      </c>
      <c r="P30" t="str">
        <f t="shared" si="12"/>
        <v/>
      </c>
      <c r="Q30" t="str">
        <f t="shared" si="13"/>
        <v>[1]=0x70063EC8;</v>
      </c>
      <c r="R30" t="str">
        <f t="shared" si="14"/>
        <v/>
      </c>
      <c r="S30" t="str">
        <f t="shared" si="15"/>
        <v>[2]={["SPRING_FESTIVAL"]=8;};</v>
      </c>
      <c r="T30" t="str">
        <f t="shared" si="16"/>
        <v>["SPRING_FESTIVAL"]=8;</v>
      </c>
      <c r="U30" t="str">
        <f t="shared" si="17"/>
        <v/>
      </c>
      <c r="V30" t="str">
        <f t="shared" si="18"/>
        <v/>
      </c>
      <c r="W30" t="str">
        <f t="shared" si="19"/>
        <v/>
      </c>
      <c r="X30" t="str">
        <f t="shared" si="20"/>
        <v/>
      </c>
      <c r="Y30" t="str">
        <f t="shared" si="21"/>
        <v/>
      </c>
    </row>
    <row r="31" spans="3:25" x14ac:dyDescent="0.25">
      <c r="C31" t="s">
        <v>490</v>
      </c>
      <c r="D31" s="1" t="s">
        <v>471</v>
      </c>
      <c r="F31">
        <v>8</v>
      </c>
      <c r="M31" t="str">
        <f t="shared" si="9"/>
        <v>[30]={[2]={["SPRING_FESTIVAL"]=8;};[1]=0x70063EC9;}; --Tall Decorative Wall - 20M (Pristine Ringforge)</v>
      </c>
      <c r="N31" t="str">
        <f t="shared" si="10"/>
        <v>[30]={[1]="DIVIDER1"; [2]={["ENGLISH"] = ""; }; };</v>
      </c>
      <c r="O31" t="str">
        <f t="shared" si="11"/>
        <v>[30]={[1]="DIVIDER2"; [2]={["ENGLISH"] = ""; }; };</v>
      </c>
      <c r="P31" t="str">
        <f t="shared" si="12"/>
        <v/>
      </c>
      <c r="Q31" t="str">
        <f t="shared" si="13"/>
        <v>[1]=0x70063EC9;</v>
      </c>
      <c r="R31" t="str">
        <f t="shared" si="14"/>
        <v/>
      </c>
      <c r="S31" t="str">
        <f t="shared" si="15"/>
        <v>[2]={["SPRING_FESTIVAL"]=8;};</v>
      </c>
      <c r="T31" t="str">
        <f t="shared" si="16"/>
        <v>["SPRING_FESTIVAL"]=8;</v>
      </c>
      <c r="U31" t="str">
        <f t="shared" si="17"/>
        <v/>
      </c>
      <c r="V31" t="str">
        <f t="shared" si="18"/>
        <v/>
      </c>
      <c r="W31" t="str">
        <f t="shared" si="19"/>
        <v/>
      </c>
      <c r="X31" t="str">
        <f t="shared" si="20"/>
        <v/>
      </c>
      <c r="Y31" t="str">
        <f t="shared" si="21"/>
        <v/>
      </c>
    </row>
    <row r="32" spans="3:25" x14ac:dyDescent="0.25">
      <c r="C32" t="s">
        <v>491</v>
      </c>
      <c r="D32" s="1" t="s">
        <v>472</v>
      </c>
      <c r="F32">
        <v>13</v>
      </c>
      <c r="M32" t="str">
        <f t="shared" si="9"/>
        <v>[31]={[2]={["SPRING_FESTIVAL"]=13;};[1]=0x70063EBB;}; --Dark Green Marble Floor</v>
      </c>
      <c r="N32" t="str">
        <f t="shared" si="10"/>
        <v>[31]={[1]="DIVIDER1"; [2]={["ENGLISH"] = ""; }; };</v>
      </c>
      <c r="O32" t="str">
        <f t="shared" si="11"/>
        <v>[31]={[1]="DIVIDER2"; [2]={["ENGLISH"] = ""; }; };</v>
      </c>
      <c r="P32" t="str">
        <f t="shared" si="12"/>
        <v/>
      </c>
      <c r="Q32" t="str">
        <f t="shared" si="13"/>
        <v>[1]=0x70063EBB;</v>
      </c>
      <c r="R32" t="str">
        <f t="shared" si="14"/>
        <v/>
      </c>
      <c r="S32" t="str">
        <f t="shared" si="15"/>
        <v>[2]={["SPRING_FESTIVAL"]=13;};</v>
      </c>
      <c r="T32" t="str">
        <f t="shared" si="16"/>
        <v>["SPRING_FESTIVAL"]=13;</v>
      </c>
      <c r="U32" t="str">
        <f t="shared" si="17"/>
        <v/>
      </c>
      <c r="V32" t="str">
        <f t="shared" si="18"/>
        <v/>
      </c>
      <c r="W32" t="str">
        <f t="shared" si="19"/>
        <v/>
      </c>
      <c r="X32" t="str">
        <f t="shared" si="20"/>
        <v/>
      </c>
      <c r="Y32" t="str">
        <f t="shared" si="21"/>
        <v/>
      </c>
    </row>
    <row r="33" spans="2:25" x14ac:dyDescent="0.25">
      <c r="C33" t="s">
        <v>492</v>
      </c>
      <c r="D33" s="1" t="s">
        <v>473</v>
      </c>
      <c r="F33">
        <v>8</v>
      </c>
      <c r="M33" t="str">
        <f t="shared" si="9"/>
        <v>[32]={[2]={["SPRING_FESTIVAL"]=8;};[1]=0x70063EC5;}; --Decorative Dark Green Marble Platform</v>
      </c>
      <c r="N33" t="str">
        <f t="shared" si="10"/>
        <v>[32]={[1]="DIVIDER1"; [2]={["ENGLISH"] = ""; }; };</v>
      </c>
      <c r="O33" t="str">
        <f t="shared" si="11"/>
        <v>[32]={[1]="DIVIDER2"; [2]={["ENGLISH"] = ""; }; };</v>
      </c>
      <c r="P33" t="str">
        <f t="shared" si="12"/>
        <v/>
      </c>
      <c r="Q33" t="str">
        <f t="shared" si="13"/>
        <v>[1]=0x70063EC5;</v>
      </c>
      <c r="R33" t="str">
        <f t="shared" si="14"/>
        <v/>
      </c>
      <c r="S33" t="str">
        <f t="shared" si="15"/>
        <v>[2]={["SPRING_FESTIVAL"]=8;};</v>
      </c>
      <c r="T33" t="str">
        <f t="shared" si="16"/>
        <v>["SPRING_FESTIVAL"]=8;</v>
      </c>
      <c r="U33" t="str">
        <f t="shared" si="17"/>
        <v/>
      </c>
      <c r="V33" t="str">
        <f t="shared" si="18"/>
        <v/>
      </c>
      <c r="W33" t="str">
        <f t="shared" si="19"/>
        <v/>
      </c>
      <c r="X33" t="str">
        <f t="shared" si="20"/>
        <v/>
      </c>
      <c r="Y33" t="str">
        <f t="shared" si="21"/>
        <v/>
      </c>
    </row>
    <row r="34" spans="2:25" x14ac:dyDescent="0.25">
      <c r="B34" t="s">
        <v>94</v>
      </c>
      <c r="M34" t="str">
        <f t="shared" si="9"/>
        <v>[33]={[1]="DIVIDER2"; [2]={["ENGLISH"] = "Cosmetics - Part 1"; }; };</v>
      </c>
      <c r="N34" t="str">
        <f t="shared" si="10"/>
        <v>[33]={[1]="DIVIDER1"; [2]={["ENGLISH"] = ""; }; };</v>
      </c>
      <c r="O34" t="str">
        <f t="shared" si="11"/>
        <v>[33]={[1]="DIVIDER2"; [2]={["ENGLISH"] = "Cosmetics - Part 1"; }; };</v>
      </c>
      <c r="P34" t="str">
        <f t="shared" si="12"/>
        <v/>
      </c>
      <c r="Q34" t="str">
        <f t="shared" si="13"/>
        <v>[1]=;</v>
      </c>
      <c r="R34" t="str">
        <f t="shared" si="14"/>
        <v/>
      </c>
      <c r="S34" t="str">
        <f t="shared" si="15"/>
        <v>[2]={};</v>
      </c>
      <c r="T34" t="str">
        <f t="shared" si="16"/>
        <v/>
      </c>
      <c r="U34" t="str">
        <f t="shared" si="17"/>
        <v/>
      </c>
      <c r="V34" t="str">
        <f t="shared" si="18"/>
        <v/>
      </c>
      <c r="W34" t="str">
        <f t="shared" si="19"/>
        <v/>
      </c>
      <c r="X34" t="str">
        <f t="shared" si="20"/>
        <v/>
      </c>
      <c r="Y34" t="str">
        <f t="shared" si="21"/>
        <v/>
      </c>
    </row>
    <row r="35" spans="2:25" x14ac:dyDescent="0.25">
      <c r="C35" t="s">
        <v>447</v>
      </c>
      <c r="D35" s="1" t="s">
        <v>435</v>
      </c>
      <c r="F35">
        <v>15</v>
      </c>
      <c r="M35" t="str">
        <f t="shared" si="9"/>
        <v>[34]={[2]={["SPRING_FESTIVAL"]=15;};[1]=0x7007441F;}; --Daffodil Celebration Cloak</v>
      </c>
      <c r="N35" t="str">
        <f t="shared" si="10"/>
        <v>[34]={[1]="DIVIDER1"; [2]={["ENGLISH"] = ""; }; };</v>
      </c>
      <c r="O35" t="str">
        <f t="shared" si="11"/>
        <v>[34]={[1]="DIVIDER2"; [2]={["ENGLISH"] = ""; }; };</v>
      </c>
      <c r="P35" t="str">
        <f t="shared" si="12"/>
        <v/>
      </c>
      <c r="Q35" t="str">
        <f t="shared" si="13"/>
        <v>[1]=0x7007441F;</v>
      </c>
      <c r="R35" t="str">
        <f t="shared" si="14"/>
        <v/>
      </c>
      <c r="S35" t="str">
        <f t="shared" si="15"/>
        <v>[2]={["SPRING_FESTIVAL"]=15;};</v>
      </c>
      <c r="T35" t="str">
        <f t="shared" si="16"/>
        <v>["SPRING_FESTIVAL"]=15;</v>
      </c>
      <c r="U35" t="str">
        <f t="shared" si="17"/>
        <v/>
      </c>
      <c r="V35" t="str">
        <f t="shared" si="18"/>
        <v/>
      </c>
      <c r="W35" t="str">
        <f t="shared" si="19"/>
        <v/>
      </c>
      <c r="X35" t="str">
        <f t="shared" si="20"/>
        <v/>
      </c>
      <c r="Y35" t="str">
        <f t="shared" si="21"/>
        <v/>
      </c>
    </row>
    <row r="36" spans="2:25" x14ac:dyDescent="0.25">
      <c r="C36" t="s">
        <v>448</v>
      </c>
      <c r="D36" s="1" t="s">
        <v>436</v>
      </c>
      <c r="F36">
        <v>15</v>
      </c>
      <c r="M36" t="str">
        <f t="shared" si="9"/>
        <v>[35]={[2]={["SPRING_FESTIVAL"]=15;};[1]=0x7007441D;}; --Hooded Daffodil Celebration Cloak</v>
      </c>
      <c r="N36" t="str">
        <f t="shared" si="10"/>
        <v>[35]={[1]="DIVIDER1"; [2]={["ENGLISH"] = ""; }; };</v>
      </c>
      <c r="O36" t="str">
        <f t="shared" si="11"/>
        <v>[35]={[1]="DIVIDER2"; [2]={["ENGLISH"] = ""; }; };</v>
      </c>
      <c r="P36" t="str">
        <f t="shared" si="12"/>
        <v/>
      </c>
      <c r="Q36" t="str">
        <f t="shared" si="13"/>
        <v>[1]=0x7007441D;</v>
      </c>
      <c r="R36" t="str">
        <f t="shared" si="14"/>
        <v/>
      </c>
      <c r="S36" t="str">
        <f t="shared" si="15"/>
        <v>[2]={["SPRING_FESTIVAL"]=15;};</v>
      </c>
      <c r="T36" t="str">
        <f t="shared" si="16"/>
        <v>["SPRING_FESTIVAL"]=15;</v>
      </c>
      <c r="U36" t="str">
        <f t="shared" si="17"/>
        <v/>
      </c>
      <c r="V36" t="str">
        <f t="shared" si="18"/>
        <v/>
      </c>
      <c r="W36" t="str">
        <f t="shared" si="19"/>
        <v/>
      </c>
      <c r="X36" t="str">
        <f t="shared" si="20"/>
        <v/>
      </c>
      <c r="Y36" t="str">
        <f t="shared" si="21"/>
        <v/>
      </c>
    </row>
    <row r="37" spans="2:25" x14ac:dyDescent="0.25">
      <c r="C37" t="s">
        <v>449</v>
      </c>
      <c r="D37" s="1" t="s">
        <v>437</v>
      </c>
      <c r="F37">
        <v>15</v>
      </c>
      <c r="M37" t="str">
        <f t="shared" si="9"/>
        <v>[36]={[2]={["SPRING_FESTIVAL"]=15;};[1]=0x70074421;}; --Daffodil Celebration Hat</v>
      </c>
      <c r="N37" t="str">
        <f t="shared" si="10"/>
        <v>[36]={[1]="DIVIDER1"; [2]={["ENGLISH"] = ""; }; };</v>
      </c>
      <c r="O37" t="str">
        <f t="shared" si="11"/>
        <v>[36]={[1]="DIVIDER2"; [2]={["ENGLISH"] = ""; }; };</v>
      </c>
      <c r="P37" t="str">
        <f t="shared" si="12"/>
        <v/>
      </c>
      <c r="Q37" t="str">
        <f t="shared" si="13"/>
        <v>[1]=0x70074421;</v>
      </c>
      <c r="R37" t="str">
        <f t="shared" si="14"/>
        <v/>
      </c>
      <c r="S37" t="str">
        <f t="shared" si="15"/>
        <v>[2]={["SPRING_FESTIVAL"]=15;};</v>
      </c>
      <c r="T37" t="str">
        <f t="shared" si="16"/>
        <v>["SPRING_FESTIVAL"]=15;</v>
      </c>
      <c r="U37" t="str">
        <f t="shared" si="17"/>
        <v/>
      </c>
      <c r="V37" t="str">
        <f t="shared" si="18"/>
        <v/>
      </c>
      <c r="W37" t="str">
        <f t="shared" si="19"/>
        <v/>
      </c>
      <c r="X37" t="str">
        <f t="shared" si="20"/>
        <v/>
      </c>
      <c r="Y37" t="str">
        <f t="shared" si="21"/>
        <v/>
      </c>
    </row>
    <row r="38" spans="2:25" x14ac:dyDescent="0.25">
      <c r="C38" t="s">
        <v>450</v>
      </c>
      <c r="D38" s="1" t="s">
        <v>438</v>
      </c>
      <c r="F38">
        <v>15</v>
      </c>
      <c r="M38" t="str">
        <f t="shared" si="9"/>
        <v>[37]={[2]={["SPRING_FESTIVAL"]=15;};[1]=0x7007441E;}; --Daffodil Celebration Shawl</v>
      </c>
      <c r="N38" t="str">
        <f t="shared" si="10"/>
        <v>[37]={[1]="DIVIDER1"; [2]={["ENGLISH"] = ""; }; };</v>
      </c>
      <c r="O38" t="str">
        <f t="shared" si="11"/>
        <v>[37]={[1]="DIVIDER2"; [2]={["ENGLISH"] = ""; }; };</v>
      </c>
      <c r="P38" t="str">
        <f t="shared" si="12"/>
        <v/>
      </c>
      <c r="Q38" t="str">
        <f t="shared" si="13"/>
        <v>[1]=0x7007441E;</v>
      </c>
      <c r="R38" t="str">
        <f t="shared" si="14"/>
        <v/>
      </c>
      <c r="S38" t="str">
        <f t="shared" si="15"/>
        <v>[2]={["SPRING_FESTIVAL"]=15;};</v>
      </c>
      <c r="T38" t="str">
        <f t="shared" si="16"/>
        <v>["SPRING_FESTIVAL"]=15;</v>
      </c>
      <c r="U38" t="str">
        <f t="shared" si="17"/>
        <v/>
      </c>
      <c r="V38" t="str">
        <f t="shared" si="18"/>
        <v/>
      </c>
      <c r="W38" t="str">
        <f t="shared" si="19"/>
        <v/>
      </c>
      <c r="X38" t="str">
        <f t="shared" si="20"/>
        <v/>
      </c>
      <c r="Y38" t="str">
        <f t="shared" si="21"/>
        <v/>
      </c>
    </row>
    <row r="39" spans="2:25" x14ac:dyDescent="0.25">
      <c r="C39" t="s">
        <v>451</v>
      </c>
      <c r="D39" s="1" t="s">
        <v>439</v>
      </c>
      <c r="F39">
        <v>15</v>
      </c>
      <c r="M39" t="str">
        <f t="shared" si="9"/>
        <v>[38]={[2]={["SPRING_FESTIVAL"]=15;};[1]=0x7007441C;}; --Daffodil Celebration Tunic and Trousers</v>
      </c>
      <c r="N39" t="str">
        <f t="shared" si="10"/>
        <v>[38]={[1]="DIVIDER1"; [2]={["ENGLISH"] = ""; }; };</v>
      </c>
      <c r="O39" t="str">
        <f t="shared" si="11"/>
        <v>[38]={[1]="DIVIDER2"; [2]={["ENGLISH"] = ""; }; };</v>
      </c>
      <c r="P39" t="str">
        <f t="shared" si="12"/>
        <v/>
      </c>
      <c r="Q39" t="str">
        <f t="shared" si="13"/>
        <v>[1]=0x7007441C;</v>
      </c>
      <c r="R39" t="str">
        <f t="shared" si="14"/>
        <v/>
      </c>
      <c r="S39" t="str">
        <f t="shared" si="15"/>
        <v>[2]={["SPRING_FESTIVAL"]=15;};</v>
      </c>
      <c r="T39" t="str">
        <f t="shared" si="16"/>
        <v>["SPRING_FESTIVAL"]=15;</v>
      </c>
      <c r="U39" t="str">
        <f t="shared" si="17"/>
        <v/>
      </c>
      <c r="V39" t="str">
        <f t="shared" si="18"/>
        <v/>
      </c>
      <c r="W39" t="str">
        <f t="shared" si="19"/>
        <v/>
      </c>
      <c r="X39" t="str">
        <f t="shared" si="20"/>
        <v/>
      </c>
      <c r="Y39" t="str">
        <f t="shared" si="21"/>
        <v/>
      </c>
    </row>
    <row r="40" spans="2:25" x14ac:dyDescent="0.25">
      <c r="C40" t="s">
        <v>452</v>
      </c>
      <c r="D40" s="1" t="s">
        <v>440</v>
      </c>
      <c r="F40">
        <v>15</v>
      </c>
      <c r="M40" t="str">
        <f t="shared" si="9"/>
        <v>[39]={[2]={["SPRING_FESTIVAL"]=15;};[1]=0x70074420;}; --Daffodil Celebration Dress</v>
      </c>
      <c r="N40" t="str">
        <f t="shared" si="10"/>
        <v>[39]={[1]="DIVIDER1"; [2]={["ENGLISH"] = ""; }; };</v>
      </c>
      <c r="O40" t="str">
        <f t="shared" si="11"/>
        <v>[39]={[1]="DIVIDER2"; [2]={["ENGLISH"] = ""; }; };</v>
      </c>
      <c r="P40" t="str">
        <f t="shared" si="12"/>
        <v/>
      </c>
      <c r="Q40" t="str">
        <f t="shared" si="13"/>
        <v>[1]=0x70074420;</v>
      </c>
      <c r="R40" t="str">
        <f t="shared" si="14"/>
        <v/>
      </c>
      <c r="S40" t="str">
        <f t="shared" si="15"/>
        <v>[2]={["SPRING_FESTIVAL"]=15;};</v>
      </c>
      <c r="T40" t="str">
        <f t="shared" si="16"/>
        <v>["SPRING_FESTIVAL"]=15;</v>
      </c>
      <c r="U40" t="str">
        <f t="shared" si="17"/>
        <v/>
      </c>
      <c r="V40" t="str">
        <f t="shared" si="18"/>
        <v/>
      </c>
      <c r="W40" t="str">
        <f t="shared" si="19"/>
        <v/>
      </c>
      <c r="X40" t="str">
        <f t="shared" si="20"/>
        <v/>
      </c>
      <c r="Y40" t="str">
        <f t="shared" si="21"/>
        <v/>
      </c>
    </row>
    <row r="41" spans="2:25" x14ac:dyDescent="0.25">
      <c r="C41" t="s">
        <v>453</v>
      </c>
      <c r="D41" s="1" t="s">
        <v>441</v>
      </c>
      <c r="F41">
        <v>15</v>
      </c>
      <c r="M41" t="str">
        <f t="shared" si="9"/>
        <v>[40]={[2]={["SPRING_FESTIVAL"]=15;};[1]=0x7006ED4B;}; --Cloak of Budding Spring</v>
      </c>
      <c r="N41" t="str">
        <f t="shared" si="10"/>
        <v>[40]={[1]="DIVIDER1"; [2]={["ENGLISH"] = ""; }; };</v>
      </c>
      <c r="O41" t="str">
        <f t="shared" si="11"/>
        <v>[40]={[1]="DIVIDER2"; [2]={["ENGLISH"] = ""; }; };</v>
      </c>
      <c r="P41" t="str">
        <f t="shared" si="12"/>
        <v/>
      </c>
      <c r="Q41" t="str">
        <f t="shared" si="13"/>
        <v>[1]=0x7006ED4B;</v>
      </c>
      <c r="R41" t="str">
        <f t="shared" si="14"/>
        <v/>
      </c>
      <c r="S41" t="str">
        <f t="shared" si="15"/>
        <v>[2]={["SPRING_FESTIVAL"]=15;};</v>
      </c>
      <c r="T41" t="str">
        <f t="shared" si="16"/>
        <v>["SPRING_FESTIVAL"]=15;</v>
      </c>
      <c r="U41" t="str">
        <f t="shared" si="17"/>
        <v/>
      </c>
      <c r="V41" t="str">
        <f t="shared" si="18"/>
        <v/>
      </c>
      <c r="W41" t="str">
        <f t="shared" si="19"/>
        <v/>
      </c>
      <c r="X41" t="str">
        <f t="shared" si="20"/>
        <v/>
      </c>
      <c r="Y41" t="str">
        <f t="shared" si="21"/>
        <v/>
      </c>
    </row>
    <row r="42" spans="2:25" x14ac:dyDescent="0.25">
      <c r="C42" t="s">
        <v>454</v>
      </c>
      <c r="D42" s="1" t="s">
        <v>442</v>
      </c>
      <c r="F42">
        <v>15</v>
      </c>
      <c r="M42" t="str">
        <f t="shared" si="9"/>
        <v>[41]={[2]={["SPRING_FESTIVAL"]=15;};[1]=0x7006ED4D;}; --Hooded Cloak of Budding Spring</v>
      </c>
      <c r="N42" t="str">
        <f t="shared" si="10"/>
        <v>[41]={[1]="DIVIDER1"; [2]={["ENGLISH"] = ""; }; };</v>
      </c>
      <c r="O42" t="str">
        <f t="shared" si="11"/>
        <v>[41]={[1]="DIVIDER2"; [2]={["ENGLISH"] = ""; }; };</v>
      </c>
      <c r="P42" t="str">
        <f t="shared" si="12"/>
        <v/>
      </c>
      <c r="Q42" t="str">
        <f t="shared" si="13"/>
        <v>[1]=0x7006ED4D;</v>
      </c>
      <c r="R42" t="str">
        <f t="shared" si="14"/>
        <v/>
      </c>
      <c r="S42" t="str">
        <f t="shared" si="15"/>
        <v>[2]={["SPRING_FESTIVAL"]=15;};</v>
      </c>
      <c r="T42" t="str">
        <f t="shared" si="16"/>
        <v>["SPRING_FESTIVAL"]=15;</v>
      </c>
      <c r="U42" t="str">
        <f t="shared" si="17"/>
        <v/>
      </c>
      <c r="V42" t="str">
        <f t="shared" si="18"/>
        <v/>
      </c>
      <c r="W42" t="str">
        <f t="shared" si="19"/>
        <v/>
      </c>
      <c r="X42" t="str">
        <f t="shared" si="20"/>
        <v/>
      </c>
      <c r="Y42" t="str">
        <f t="shared" si="21"/>
        <v/>
      </c>
    </row>
    <row r="43" spans="2:25" x14ac:dyDescent="0.25">
      <c r="C43" t="s">
        <v>455</v>
      </c>
      <c r="D43" s="1" t="s">
        <v>443</v>
      </c>
      <c r="F43">
        <v>15</v>
      </c>
      <c r="M43" t="str">
        <f t="shared" si="9"/>
        <v>[42]={[2]={["SPRING_FESTIVAL"]=15;};[1]=0x7006ED4E;}; --Sleeveless Dress of Budding Spring</v>
      </c>
      <c r="N43" t="str">
        <f t="shared" si="10"/>
        <v>[42]={[1]="DIVIDER1"; [2]={["ENGLISH"] = ""; }; };</v>
      </c>
      <c r="O43" t="str">
        <f t="shared" si="11"/>
        <v>[42]={[1]="DIVIDER2"; [2]={["ENGLISH"] = ""; }; };</v>
      </c>
      <c r="P43" t="str">
        <f t="shared" si="12"/>
        <v/>
      </c>
      <c r="Q43" t="str">
        <f t="shared" si="13"/>
        <v>[1]=0x7006ED4E;</v>
      </c>
      <c r="R43" t="str">
        <f t="shared" si="14"/>
        <v/>
      </c>
      <c r="S43" t="str">
        <f t="shared" si="15"/>
        <v>[2]={["SPRING_FESTIVAL"]=15;};</v>
      </c>
      <c r="T43" t="str">
        <f t="shared" si="16"/>
        <v>["SPRING_FESTIVAL"]=15;</v>
      </c>
      <c r="U43" t="str">
        <f t="shared" si="17"/>
        <v/>
      </c>
      <c r="V43" t="str">
        <f t="shared" si="18"/>
        <v/>
      </c>
      <c r="W43" t="str">
        <f t="shared" si="19"/>
        <v/>
      </c>
      <c r="X43" t="str">
        <f t="shared" si="20"/>
        <v/>
      </c>
      <c r="Y43" t="str">
        <f t="shared" si="21"/>
        <v/>
      </c>
    </row>
    <row r="44" spans="2:25" x14ac:dyDescent="0.25">
      <c r="C44" t="s">
        <v>456</v>
      </c>
      <c r="D44" s="1" t="s">
        <v>444</v>
      </c>
      <c r="F44">
        <v>15</v>
      </c>
      <c r="M44" t="str">
        <f t="shared" si="9"/>
        <v>[43]={[2]={["SPRING_FESTIVAL"]=15;};[1]=0x7006ED4A;}; --Dress of Budding Spring</v>
      </c>
      <c r="N44" t="str">
        <f t="shared" si="10"/>
        <v>[43]={[1]="DIVIDER1"; [2]={["ENGLISH"] = ""; }; };</v>
      </c>
      <c r="O44" t="str">
        <f t="shared" si="11"/>
        <v>[43]={[1]="DIVIDER2"; [2]={["ENGLISH"] = ""; }; };</v>
      </c>
      <c r="P44" t="str">
        <f t="shared" si="12"/>
        <v/>
      </c>
      <c r="Q44" t="str">
        <f t="shared" si="13"/>
        <v>[1]=0x7006ED4A;</v>
      </c>
      <c r="R44" t="str">
        <f t="shared" si="14"/>
        <v/>
      </c>
      <c r="S44" t="str">
        <f t="shared" si="15"/>
        <v>[2]={["SPRING_FESTIVAL"]=15;};</v>
      </c>
      <c r="T44" t="str">
        <f t="shared" si="16"/>
        <v>["SPRING_FESTIVAL"]=15;</v>
      </c>
      <c r="U44" t="str">
        <f t="shared" si="17"/>
        <v/>
      </c>
      <c r="V44" t="str">
        <f t="shared" si="18"/>
        <v/>
      </c>
      <c r="W44" t="str">
        <f t="shared" si="19"/>
        <v/>
      </c>
      <c r="X44" t="str">
        <f t="shared" si="20"/>
        <v/>
      </c>
      <c r="Y44" t="str">
        <f t="shared" si="21"/>
        <v/>
      </c>
    </row>
    <row r="45" spans="2:25" x14ac:dyDescent="0.25">
      <c r="C45" t="s">
        <v>457</v>
      </c>
      <c r="D45" s="1" t="s">
        <v>445</v>
      </c>
      <c r="F45">
        <v>15</v>
      </c>
      <c r="M45" t="str">
        <f t="shared" si="9"/>
        <v>[44]={[2]={["SPRING_FESTIVAL"]=15;};[1]=0x7006ED4F;}; --Long-sleeved Dress of Budding Spring</v>
      </c>
      <c r="N45" t="str">
        <f t="shared" si="10"/>
        <v>[44]={[1]="DIVIDER1"; [2]={["ENGLISH"] = ""; }; };</v>
      </c>
      <c r="O45" t="str">
        <f t="shared" si="11"/>
        <v>[44]={[1]="DIVIDER2"; [2]={["ENGLISH"] = ""; }; };</v>
      </c>
      <c r="P45" t="str">
        <f t="shared" si="12"/>
        <v/>
      </c>
      <c r="Q45" t="str">
        <f t="shared" si="13"/>
        <v>[1]=0x7006ED4F;</v>
      </c>
      <c r="R45" t="str">
        <f t="shared" si="14"/>
        <v/>
      </c>
      <c r="S45" t="str">
        <f t="shared" si="15"/>
        <v>[2]={["SPRING_FESTIVAL"]=15;};</v>
      </c>
      <c r="T45" t="str">
        <f t="shared" si="16"/>
        <v>["SPRING_FESTIVAL"]=15;</v>
      </c>
      <c r="U45" t="str">
        <f t="shared" si="17"/>
        <v/>
      </c>
      <c r="V45" t="str">
        <f t="shared" si="18"/>
        <v/>
      </c>
      <c r="W45" t="str">
        <f t="shared" si="19"/>
        <v/>
      </c>
      <c r="X45" t="str">
        <f t="shared" si="20"/>
        <v/>
      </c>
      <c r="Y45" t="str">
        <f t="shared" si="21"/>
        <v/>
      </c>
    </row>
    <row r="46" spans="2:25" x14ac:dyDescent="0.25">
      <c r="C46" t="s">
        <v>458</v>
      </c>
      <c r="D46" s="1" t="s">
        <v>446</v>
      </c>
      <c r="F46">
        <v>15</v>
      </c>
      <c r="M46" t="str">
        <f t="shared" si="9"/>
        <v>[45]={[2]={["SPRING_FESTIVAL"]=15;};[1]=0x7006ED4C;}; --Tunic and Leggings of Budding Spring</v>
      </c>
      <c r="N46" t="str">
        <f t="shared" si="10"/>
        <v>[45]={[1]="DIVIDER1"; [2]={["ENGLISH"] = ""; }; };</v>
      </c>
      <c r="O46" t="str">
        <f t="shared" si="11"/>
        <v>[45]={[1]="DIVIDER2"; [2]={["ENGLISH"] = ""; }; };</v>
      </c>
      <c r="P46" t="str">
        <f t="shared" si="12"/>
        <v/>
      </c>
      <c r="Q46" t="str">
        <f t="shared" si="13"/>
        <v>[1]=0x7006ED4C;</v>
      </c>
      <c r="R46" t="str">
        <f t="shared" si="14"/>
        <v/>
      </c>
      <c r="S46" t="str">
        <f t="shared" si="15"/>
        <v>[2]={["SPRING_FESTIVAL"]=15;};</v>
      </c>
      <c r="T46" t="str">
        <f t="shared" si="16"/>
        <v>["SPRING_FESTIVAL"]=15;</v>
      </c>
      <c r="U46" t="str">
        <f t="shared" si="17"/>
        <v/>
      </c>
      <c r="V46" t="str">
        <f t="shared" si="18"/>
        <v/>
      </c>
      <c r="W46" t="str">
        <f t="shared" si="19"/>
        <v/>
      </c>
      <c r="X46" t="str">
        <f t="shared" si="20"/>
        <v/>
      </c>
      <c r="Y46" t="str">
        <f t="shared" si="21"/>
        <v/>
      </c>
    </row>
    <row r="47" spans="2:25" x14ac:dyDescent="0.25">
      <c r="C47" t="s">
        <v>96</v>
      </c>
      <c r="D47" s="1" t="s">
        <v>123</v>
      </c>
      <c r="F47">
        <v>15</v>
      </c>
      <c r="M47" t="str">
        <f t="shared" si="9"/>
        <v>[46]={[2]={["SPRING_FESTIVAL"]=15;};[1]=0x7006A6D4;}; --Boots of the Perfect Curl</v>
      </c>
      <c r="N47" t="str">
        <f t="shared" si="10"/>
        <v>[46]={[1]="DIVIDER1"; [2]={["ENGLISH"] = ""; }; };</v>
      </c>
      <c r="O47" t="str">
        <f t="shared" si="11"/>
        <v>[46]={[1]="DIVIDER2"; [2]={["ENGLISH"] = ""; }; };</v>
      </c>
      <c r="P47" t="str">
        <f t="shared" si="12"/>
        <v/>
      </c>
      <c r="Q47" t="str">
        <f t="shared" si="13"/>
        <v>[1]=0x7006A6D4;</v>
      </c>
      <c r="R47" t="str">
        <f t="shared" si="14"/>
        <v/>
      </c>
      <c r="S47" t="str">
        <f t="shared" si="15"/>
        <v>[2]={["SPRING_FESTIVAL"]=15;};</v>
      </c>
      <c r="T47" t="str">
        <f t="shared" si="16"/>
        <v>["SPRING_FESTIVAL"]=15;</v>
      </c>
      <c r="U47" t="str">
        <f t="shared" si="17"/>
        <v/>
      </c>
      <c r="V47" t="str">
        <f t="shared" si="18"/>
        <v/>
      </c>
      <c r="W47" t="str">
        <f t="shared" si="19"/>
        <v/>
      </c>
      <c r="X47" t="str">
        <f t="shared" si="20"/>
        <v/>
      </c>
      <c r="Y47" t="str">
        <f t="shared" si="21"/>
        <v/>
      </c>
    </row>
    <row r="48" spans="2:25" x14ac:dyDescent="0.25">
      <c r="C48" t="s">
        <v>97</v>
      </c>
      <c r="D48" s="1" t="s">
        <v>124</v>
      </c>
      <c r="F48">
        <v>15</v>
      </c>
      <c r="M48" t="str">
        <f t="shared" si="9"/>
        <v>[47]={[2]={["SPRING_FESTIVAL"]=15;};[1]=0x7006A6D3;}; --Helmet of the Perfect Curl</v>
      </c>
      <c r="N48" t="str">
        <f t="shared" si="10"/>
        <v>[47]={[1]="DIVIDER1"; [2]={["ENGLISH"] = ""; }; };</v>
      </c>
      <c r="O48" t="str">
        <f t="shared" si="11"/>
        <v>[47]={[1]="DIVIDER2"; [2]={["ENGLISH"] = ""; }; };</v>
      </c>
      <c r="P48" t="str">
        <f t="shared" si="12"/>
        <v/>
      </c>
      <c r="Q48" t="str">
        <f t="shared" si="13"/>
        <v>[1]=0x7006A6D3;</v>
      </c>
      <c r="R48" t="str">
        <f t="shared" si="14"/>
        <v/>
      </c>
      <c r="S48" t="str">
        <f t="shared" si="15"/>
        <v>[2]={["SPRING_FESTIVAL"]=15;};</v>
      </c>
      <c r="T48" t="str">
        <f t="shared" si="16"/>
        <v>["SPRING_FESTIVAL"]=15;</v>
      </c>
      <c r="U48" t="str">
        <f t="shared" si="17"/>
        <v/>
      </c>
      <c r="V48" t="str">
        <f t="shared" si="18"/>
        <v/>
      </c>
      <c r="W48" t="str">
        <f t="shared" si="19"/>
        <v/>
      </c>
      <c r="X48" t="str">
        <f t="shared" si="20"/>
        <v/>
      </c>
      <c r="Y48" t="str">
        <f t="shared" si="21"/>
        <v/>
      </c>
    </row>
    <row r="49" spans="3:25" x14ac:dyDescent="0.25">
      <c r="C49" t="s">
        <v>98</v>
      </c>
      <c r="D49" s="1" t="s">
        <v>125</v>
      </c>
      <c r="F49">
        <v>15</v>
      </c>
      <c r="M49" t="str">
        <f t="shared" si="9"/>
        <v>[48]={[2]={["SPRING_FESTIVAL"]=15;};[1]=0x7006A6D2;}; --Shoulder-guards of the Perfect Curl</v>
      </c>
      <c r="N49" t="str">
        <f t="shared" si="10"/>
        <v>[48]={[1]="DIVIDER1"; [2]={["ENGLISH"] = ""; }; };</v>
      </c>
      <c r="O49" t="str">
        <f t="shared" si="11"/>
        <v>[48]={[1]="DIVIDER2"; [2]={["ENGLISH"] = ""; }; };</v>
      </c>
      <c r="P49" t="str">
        <f t="shared" si="12"/>
        <v/>
      </c>
      <c r="Q49" t="str">
        <f t="shared" si="13"/>
        <v>[1]=0x7006A6D2;</v>
      </c>
      <c r="R49" t="str">
        <f t="shared" si="14"/>
        <v/>
      </c>
      <c r="S49" t="str">
        <f t="shared" si="15"/>
        <v>[2]={["SPRING_FESTIVAL"]=15;};</v>
      </c>
      <c r="T49" t="str">
        <f t="shared" si="16"/>
        <v>["SPRING_FESTIVAL"]=15;</v>
      </c>
      <c r="U49" t="str">
        <f t="shared" si="17"/>
        <v/>
      </c>
      <c r="V49" t="str">
        <f t="shared" si="18"/>
        <v/>
      </c>
      <c r="W49" t="str">
        <f t="shared" si="19"/>
        <v/>
      </c>
      <c r="X49" t="str">
        <f t="shared" si="20"/>
        <v/>
      </c>
      <c r="Y49" t="str">
        <f t="shared" si="21"/>
        <v/>
      </c>
    </row>
    <row r="50" spans="3:25" x14ac:dyDescent="0.25">
      <c r="C50" t="s">
        <v>99</v>
      </c>
      <c r="D50" s="1" t="s">
        <v>126</v>
      </c>
      <c r="F50">
        <v>15</v>
      </c>
      <c r="M50" t="str">
        <f t="shared" si="9"/>
        <v>[49]={[2]={["SPRING_FESTIVAL"]=15;};[1]=0x7006A6D5;}; --Tunic and Leggings of the Perfect Curl</v>
      </c>
      <c r="N50" t="str">
        <f t="shared" si="10"/>
        <v>[49]={[1]="DIVIDER1"; [2]={["ENGLISH"] = ""; }; };</v>
      </c>
      <c r="O50" t="str">
        <f t="shared" si="11"/>
        <v>[49]={[1]="DIVIDER2"; [2]={["ENGLISH"] = ""; }; };</v>
      </c>
      <c r="P50" t="str">
        <f t="shared" si="12"/>
        <v/>
      </c>
      <c r="Q50" t="str">
        <f t="shared" si="13"/>
        <v>[1]=0x7006A6D5;</v>
      </c>
      <c r="R50" t="str">
        <f t="shared" si="14"/>
        <v/>
      </c>
      <c r="S50" t="str">
        <f t="shared" si="15"/>
        <v>[2]={["SPRING_FESTIVAL"]=15;};</v>
      </c>
      <c r="T50" t="str">
        <f t="shared" si="16"/>
        <v>["SPRING_FESTIVAL"]=15;</v>
      </c>
      <c r="U50" t="str">
        <f t="shared" si="17"/>
        <v/>
      </c>
      <c r="V50" t="str">
        <f t="shared" si="18"/>
        <v/>
      </c>
      <c r="W50" t="str">
        <f t="shared" si="19"/>
        <v/>
      </c>
      <c r="X50" t="str">
        <f t="shared" si="20"/>
        <v/>
      </c>
      <c r="Y50" t="str">
        <f t="shared" si="21"/>
        <v/>
      </c>
    </row>
    <row r="51" spans="3:25" x14ac:dyDescent="0.25">
      <c r="C51" t="s">
        <v>100</v>
      </c>
      <c r="D51" s="1" t="s">
        <v>171</v>
      </c>
      <c r="F51">
        <v>15</v>
      </c>
      <c r="M51" t="str">
        <f t="shared" si="9"/>
        <v>[50]={[2]={["SPRING_FESTIVAL"]=15;};[1]=0x70064D6E;}; --Cloak of New Growth</v>
      </c>
      <c r="N51" t="str">
        <f t="shared" si="10"/>
        <v>[50]={[1]="DIVIDER1"; [2]={["ENGLISH"] = ""; }; };</v>
      </c>
      <c r="O51" t="str">
        <f t="shared" si="11"/>
        <v>[50]={[1]="DIVIDER2"; [2]={["ENGLISH"] = ""; }; };</v>
      </c>
      <c r="P51" t="str">
        <f t="shared" si="12"/>
        <v/>
      </c>
      <c r="Q51" t="str">
        <f t="shared" si="13"/>
        <v>[1]=0x70064D6E;</v>
      </c>
      <c r="R51" t="str">
        <f t="shared" si="14"/>
        <v/>
      </c>
      <c r="S51" t="str">
        <f t="shared" si="15"/>
        <v>[2]={["SPRING_FESTIVAL"]=15;};</v>
      </c>
      <c r="T51" t="str">
        <f t="shared" si="16"/>
        <v>["SPRING_FESTIVAL"]=15;</v>
      </c>
      <c r="U51" t="str">
        <f t="shared" si="17"/>
        <v/>
      </c>
      <c r="V51" t="str">
        <f t="shared" si="18"/>
        <v/>
      </c>
      <c r="W51" t="str">
        <f t="shared" si="19"/>
        <v/>
      </c>
      <c r="X51" t="str">
        <f t="shared" si="20"/>
        <v/>
      </c>
      <c r="Y51" t="str">
        <f t="shared" si="21"/>
        <v/>
      </c>
    </row>
    <row r="52" spans="3:25" x14ac:dyDescent="0.25">
      <c r="C52" t="s">
        <v>101</v>
      </c>
      <c r="D52" s="1" t="s">
        <v>127</v>
      </c>
      <c r="F52">
        <v>15</v>
      </c>
      <c r="M52" t="str">
        <f t="shared" si="9"/>
        <v>[51]={[2]={["SPRING_FESTIVAL"]=15;};[1]=0x70064D6D;}; --Hooded Cloak of New Growth</v>
      </c>
      <c r="N52" t="str">
        <f t="shared" si="10"/>
        <v>[51]={[1]="DIVIDER1"; [2]={["ENGLISH"] = ""; }; };</v>
      </c>
      <c r="O52" t="str">
        <f t="shared" si="11"/>
        <v>[51]={[1]="DIVIDER2"; [2]={["ENGLISH"] = ""; }; };</v>
      </c>
      <c r="P52" t="str">
        <f t="shared" si="12"/>
        <v/>
      </c>
      <c r="Q52" t="str">
        <f t="shared" si="13"/>
        <v>[1]=0x70064D6D;</v>
      </c>
      <c r="R52" t="str">
        <f t="shared" si="14"/>
        <v/>
      </c>
      <c r="S52" t="str">
        <f t="shared" si="15"/>
        <v>[2]={["SPRING_FESTIVAL"]=15;};</v>
      </c>
      <c r="T52" t="str">
        <f t="shared" si="16"/>
        <v>["SPRING_FESTIVAL"]=15;</v>
      </c>
      <c r="U52" t="str">
        <f t="shared" si="17"/>
        <v/>
      </c>
      <c r="V52" t="str">
        <f t="shared" si="18"/>
        <v/>
      </c>
      <c r="W52" t="str">
        <f t="shared" si="19"/>
        <v/>
      </c>
      <c r="X52" t="str">
        <f t="shared" si="20"/>
        <v/>
      </c>
      <c r="Y52" t="str">
        <f t="shared" si="21"/>
        <v/>
      </c>
    </row>
    <row r="53" spans="3:25" x14ac:dyDescent="0.25">
      <c r="C53" t="s">
        <v>102</v>
      </c>
      <c r="D53" s="1" t="s">
        <v>128</v>
      </c>
      <c r="F53">
        <v>15</v>
      </c>
      <c r="M53" t="str">
        <f t="shared" si="9"/>
        <v>[52]={[2]={["SPRING_FESTIVAL"]=15;};[1]=0x7005A3CF;}; --Jacket of a Merry Fellow</v>
      </c>
      <c r="N53" t="str">
        <f t="shared" si="10"/>
        <v>[52]={[1]="DIVIDER1"; [2]={["ENGLISH"] = ""; }; };</v>
      </c>
      <c r="O53" t="str">
        <f t="shared" si="11"/>
        <v>[52]={[1]="DIVIDER2"; [2]={["ENGLISH"] = ""; }; };</v>
      </c>
      <c r="P53" t="str">
        <f t="shared" si="12"/>
        <v/>
      </c>
      <c r="Q53" t="str">
        <f t="shared" si="13"/>
        <v>[1]=0x7005A3CF;</v>
      </c>
      <c r="R53" t="str">
        <f t="shared" si="14"/>
        <v/>
      </c>
      <c r="S53" t="str">
        <f t="shared" si="15"/>
        <v>[2]={["SPRING_FESTIVAL"]=15;};</v>
      </c>
      <c r="T53" t="str">
        <f t="shared" si="16"/>
        <v>["SPRING_FESTIVAL"]=15;</v>
      </c>
      <c r="U53" t="str">
        <f t="shared" si="17"/>
        <v/>
      </c>
      <c r="V53" t="str">
        <f t="shared" si="18"/>
        <v/>
      </c>
      <c r="W53" t="str">
        <f t="shared" si="19"/>
        <v/>
      </c>
      <c r="X53" t="str">
        <f t="shared" si="20"/>
        <v/>
      </c>
      <c r="Y53" t="str">
        <f t="shared" si="21"/>
        <v/>
      </c>
    </row>
    <row r="54" spans="3:25" x14ac:dyDescent="0.25">
      <c r="C54" t="s">
        <v>103</v>
      </c>
      <c r="D54" s="1" t="s">
        <v>129</v>
      </c>
      <c r="F54">
        <v>15</v>
      </c>
      <c r="M54" t="str">
        <f t="shared" si="9"/>
        <v>[53]={[2]={["SPRING_FESTIVAL"]=15;};[1]=0x7005A3C1;}; --Hat of a Merry Fellow</v>
      </c>
      <c r="N54" t="str">
        <f t="shared" si="10"/>
        <v>[53]={[1]="DIVIDER1"; [2]={["ENGLISH"] = ""; }; };</v>
      </c>
      <c r="O54" t="str">
        <f t="shared" si="11"/>
        <v>[53]={[1]="DIVIDER2"; [2]={["ENGLISH"] = ""; }; };</v>
      </c>
      <c r="P54" t="str">
        <f t="shared" si="12"/>
        <v/>
      </c>
      <c r="Q54" t="str">
        <f t="shared" si="13"/>
        <v>[1]=0x7005A3C1;</v>
      </c>
      <c r="R54" t="str">
        <f t="shared" si="14"/>
        <v/>
      </c>
      <c r="S54" t="str">
        <f t="shared" si="15"/>
        <v>[2]={["SPRING_FESTIVAL"]=15;};</v>
      </c>
      <c r="T54" t="str">
        <f t="shared" si="16"/>
        <v>["SPRING_FESTIVAL"]=15;</v>
      </c>
      <c r="U54" t="str">
        <f t="shared" si="17"/>
        <v/>
      </c>
      <c r="V54" t="str">
        <f t="shared" si="18"/>
        <v/>
      </c>
      <c r="W54" t="str">
        <f t="shared" si="19"/>
        <v/>
      </c>
      <c r="X54" t="str">
        <f t="shared" si="20"/>
        <v/>
      </c>
      <c r="Y54" t="str">
        <f t="shared" si="21"/>
        <v/>
      </c>
    </row>
    <row r="55" spans="3:25" x14ac:dyDescent="0.25">
      <c r="C55" t="s">
        <v>104</v>
      </c>
      <c r="D55" s="1" t="s">
        <v>130</v>
      </c>
      <c r="F55">
        <v>15</v>
      </c>
      <c r="M55" t="str">
        <f t="shared" si="9"/>
        <v>[54]={[2]={["SPRING_FESTIVAL"]=15;};[1]=0x7005A3C7;}; --Boots of a Merry Fellow</v>
      </c>
      <c r="N55" t="str">
        <f t="shared" si="10"/>
        <v>[54]={[1]="DIVIDER1"; [2]={["ENGLISH"] = ""; }; };</v>
      </c>
      <c r="O55" t="str">
        <f t="shared" si="11"/>
        <v>[54]={[1]="DIVIDER2"; [2]={["ENGLISH"] = ""; }; };</v>
      </c>
      <c r="P55" t="str">
        <f t="shared" si="12"/>
        <v/>
      </c>
      <c r="Q55" t="str">
        <f t="shared" si="13"/>
        <v>[1]=0x7005A3C7;</v>
      </c>
      <c r="R55" t="str">
        <f t="shared" si="14"/>
        <v/>
      </c>
      <c r="S55" t="str">
        <f t="shared" si="15"/>
        <v>[2]={["SPRING_FESTIVAL"]=15;};</v>
      </c>
      <c r="T55" t="str">
        <f t="shared" si="16"/>
        <v>["SPRING_FESTIVAL"]=15;</v>
      </c>
      <c r="U55" t="str">
        <f t="shared" si="17"/>
        <v/>
      </c>
      <c r="V55" t="str">
        <f t="shared" si="18"/>
        <v/>
      </c>
      <c r="W55" t="str">
        <f t="shared" si="19"/>
        <v/>
      </c>
      <c r="X55" t="str">
        <f t="shared" si="20"/>
        <v/>
      </c>
      <c r="Y55" t="str">
        <f t="shared" si="21"/>
        <v/>
      </c>
    </row>
    <row r="56" spans="3:25" x14ac:dyDescent="0.25">
      <c r="C56" t="s">
        <v>105</v>
      </c>
      <c r="D56" s="1" t="s">
        <v>131</v>
      </c>
      <c r="F56">
        <v>15</v>
      </c>
      <c r="M56" t="str">
        <f t="shared" si="9"/>
        <v>[55]={[2]={["SPRING_FESTIVAL"]=15;};[1]=0x7005A3CA;}; --Short-sleeved Dress of the Spring Maid</v>
      </c>
      <c r="N56" t="str">
        <f t="shared" si="10"/>
        <v>[55]={[1]="DIVIDER1"; [2]={["ENGLISH"] = ""; }; };</v>
      </c>
      <c r="O56" t="str">
        <f t="shared" si="11"/>
        <v>[55]={[1]="DIVIDER2"; [2]={["ENGLISH"] = ""; }; };</v>
      </c>
      <c r="P56" t="str">
        <f t="shared" si="12"/>
        <v/>
      </c>
      <c r="Q56" t="str">
        <f t="shared" si="13"/>
        <v>[1]=0x7005A3CA;</v>
      </c>
      <c r="R56" t="str">
        <f t="shared" si="14"/>
        <v/>
      </c>
      <c r="S56" t="str">
        <f t="shared" si="15"/>
        <v>[2]={["SPRING_FESTIVAL"]=15;};</v>
      </c>
      <c r="T56" t="str">
        <f t="shared" si="16"/>
        <v>["SPRING_FESTIVAL"]=15;</v>
      </c>
      <c r="U56" t="str">
        <f t="shared" si="17"/>
        <v/>
      </c>
      <c r="V56" t="str">
        <f t="shared" si="18"/>
        <v/>
      </c>
      <c r="W56" t="str">
        <f t="shared" si="19"/>
        <v/>
      </c>
      <c r="X56" t="str">
        <f t="shared" si="20"/>
        <v/>
      </c>
      <c r="Y56" t="str">
        <f t="shared" si="21"/>
        <v/>
      </c>
    </row>
    <row r="57" spans="3:25" x14ac:dyDescent="0.25">
      <c r="C57" t="s">
        <v>106</v>
      </c>
      <c r="D57" s="1" t="s">
        <v>132</v>
      </c>
      <c r="F57">
        <v>15</v>
      </c>
      <c r="M57" t="str">
        <f t="shared" si="9"/>
        <v>[56]={[2]={["SPRING_FESTIVAL"]=15;};[1]=0x7005A3CD;}; --Long-sleeved Dress of the Spring Maid</v>
      </c>
      <c r="N57" t="str">
        <f t="shared" si="10"/>
        <v>[56]={[1]="DIVIDER1"; [2]={["ENGLISH"] = ""; }; };</v>
      </c>
      <c r="O57" t="str">
        <f t="shared" si="11"/>
        <v>[56]={[1]="DIVIDER2"; [2]={["ENGLISH"] = ""; }; };</v>
      </c>
      <c r="P57" t="str">
        <f t="shared" si="12"/>
        <v/>
      </c>
      <c r="Q57" t="str">
        <f t="shared" si="13"/>
        <v>[1]=0x7005A3CD;</v>
      </c>
      <c r="R57" t="str">
        <f t="shared" si="14"/>
        <v/>
      </c>
      <c r="S57" t="str">
        <f t="shared" si="15"/>
        <v>[2]={["SPRING_FESTIVAL"]=15;};</v>
      </c>
      <c r="T57" t="str">
        <f t="shared" si="16"/>
        <v>["SPRING_FESTIVAL"]=15;</v>
      </c>
      <c r="U57" t="str">
        <f t="shared" si="17"/>
        <v/>
      </c>
      <c r="V57" t="str">
        <f t="shared" si="18"/>
        <v/>
      </c>
      <c r="W57" t="str">
        <f t="shared" si="19"/>
        <v/>
      </c>
      <c r="X57" t="str">
        <f t="shared" si="20"/>
        <v/>
      </c>
      <c r="Y57" t="str">
        <f t="shared" si="21"/>
        <v/>
      </c>
    </row>
    <row r="58" spans="3:25" x14ac:dyDescent="0.25">
      <c r="C58" t="s">
        <v>107</v>
      </c>
      <c r="D58" s="1" t="s">
        <v>133</v>
      </c>
      <c r="F58">
        <v>15</v>
      </c>
      <c r="M58" t="str">
        <f t="shared" si="9"/>
        <v>[57]={[2]={["SPRING_FESTIVAL"]=15;};[1]=0x7005A3C4;}; --Sleeveless Dress of the Spring Maid</v>
      </c>
      <c r="N58" t="str">
        <f t="shared" si="10"/>
        <v>[57]={[1]="DIVIDER1"; [2]={["ENGLISH"] = ""; }; };</v>
      </c>
      <c r="O58" t="str">
        <f t="shared" si="11"/>
        <v>[57]={[1]="DIVIDER2"; [2]={["ENGLISH"] = ""; }; };</v>
      </c>
      <c r="P58" t="str">
        <f t="shared" si="12"/>
        <v/>
      </c>
      <c r="Q58" t="str">
        <f t="shared" si="13"/>
        <v>[1]=0x7005A3C4;</v>
      </c>
      <c r="R58" t="str">
        <f t="shared" si="14"/>
        <v/>
      </c>
      <c r="S58" t="str">
        <f t="shared" si="15"/>
        <v>[2]={["SPRING_FESTIVAL"]=15;};</v>
      </c>
      <c r="T58" t="str">
        <f t="shared" si="16"/>
        <v>["SPRING_FESTIVAL"]=15;</v>
      </c>
      <c r="U58" t="str">
        <f t="shared" si="17"/>
        <v/>
      </c>
      <c r="V58" t="str">
        <f t="shared" si="18"/>
        <v/>
      </c>
      <c r="W58" t="str">
        <f t="shared" si="19"/>
        <v/>
      </c>
      <c r="X58" t="str">
        <f t="shared" si="20"/>
        <v/>
      </c>
      <c r="Y58" t="str">
        <f t="shared" si="21"/>
        <v/>
      </c>
    </row>
    <row r="59" spans="3:25" x14ac:dyDescent="0.25">
      <c r="C59" t="s">
        <v>108</v>
      </c>
      <c r="D59" s="1" t="s">
        <v>134</v>
      </c>
      <c r="F59">
        <v>15</v>
      </c>
      <c r="M59" t="str">
        <f t="shared" si="9"/>
        <v>[58]={[2]={["SPRING_FESTIVAL"]=15;};[1]=0x700569EB;}; --Braided Dress of the Spring Woods</v>
      </c>
      <c r="N59" t="str">
        <f t="shared" si="10"/>
        <v>[58]={[1]="DIVIDER1"; [2]={["ENGLISH"] = ""; }; };</v>
      </c>
      <c r="O59" t="str">
        <f t="shared" si="11"/>
        <v>[58]={[1]="DIVIDER2"; [2]={["ENGLISH"] = ""; }; };</v>
      </c>
      <c r="P59" t="str">
        <f t="shared" si="12"/>
        <v/>
      </c>
      <c r="Q59" t="str">
        <f t="shared" si="13"/>
        <v>[1]=0x700569EB;</v>
      </c>
      <c r="R59" t="str">
        <f t="shared" si="14"/>
        <v/>
      </c>
      <c r="S59" t="str">
        <f t="shared" si="15"/>
        <v>[2]={["SPRING_FESTIVAL"]=15;};</v>
      </c>
      <c r="T59" t="str">
        <f t="shared" si="16"/>
        <v>["SPRING_FESTIVAL"]=15;</v>
      </c>
      <c r="U59" t="str">
        <f t="shared" si="17"/>
        <v/>
      </c>
      <c r="V59" t="str">
        <f t="shared" si="18"/>
        <v/>
      </c>
      <c r="W59" t="str">
        <f t="shared" si="19"/>
        <v/>
      </c>
      <c r="X59" t="str">
        <f t="shared" si="20"/>
        <v/>
      </c>
      <c r="Y59" t="str">
        <f t="shared" si="21"/>
        <v/>
      </c>
    </row>
    <row r="60" spans="3:25" x14ac:dyDescent="0.25">
      <c r="C60" t="s">
        <v>109</v>
      </c>
      <c r="D60" s="1" t="s">
        <v>135</v>
      </c>
      <c r="F60">
        <v>15</v>
      </c>
      <c r="M60" t="str">
        <f t="shared" si="9"/>
        <v>[59]={[2]={["SPRING_FESTIVAL"]=15;};[1]=0x700569EC;}; --Braided Tunic and Trousers of the Spring Woods</v>
      </c>
      <c r="N60" t="str">
        <f t="shared" si="10"/>
        <v>[59]={[1]="DIVIDER1"; [2]={["ENGLISH"] = ""; }; };</v>
      </c>
      <c r="O60" t="str">
        <f t="shared" si="11"/>
        <v>[59]={[1]="DIVIDER2"; [2]={["ENGLISH"] = ""; }; };</v>
      </c>
      <c r="P60" t="str">
        <f t="shared" si="12"/>
        <v/>
      </c>
      <c r="Q60" t="str">
        <f t="shared" si="13"/>
        <v>[1]=0x700569EC;</v>
      </c>
      <c r="R60" t="str">
        <f t="shared" si="14"/>
        <v/>
      </c>
      <c r="S60" t="str">
        <f t="shared" si="15"/>
        <v>[2]={["SPRING_FESTIVAL"]=15;};</v>
      </c>
      <c r="T60" t="str">
        <f t="shared" si="16"/>
        <v>["SPRING_FESTIVAL"]=15;</v>
      </c>
      <c r="U60" t="str">
        <f t="shared" si="17"/>
        <v/>
      </c>
      <c r="V60" t="str">
        <f t="shared" si="18"/>
        <v/>
      </c>
      <c r="W60" t="str">
        <f t="shared" si="19"/>
        <v/>
      </c>
      <c r="X60" t="str">
        <f t="shared" si="20"/>
        <v/>
      </c>
      <c r="Y60" t="str">
        <f t="shared" si="21"/>
        <v/>
      </c>
    </row>
    <row r="61" spans="3:25" x14ac:dyDescent="0.25">
      <c r="C61" t="s">
        <v>110</v>
      </c>
      <c r="D61" s="1" t="s">
        <v>136</v>
      </c>
      <c r="F61">
        <v>15</v>
      </c>
      <c r="M61" t="str">
        <f t="shared" si="9"/>
        <v>[60]={[2]={["SPRING_FESTIVAL"]=15;};[1]=0x700569EA;}; --Mantle of the Spring Woods</v>
      </c>
      <c r="N61" t="str">
        <f t="shared" si="10"/>
        <v>[60]={[1]="DIVIDER1"; [2]={["ENGLISH"] = ""; }; };</v>
      </c>
      <c r="O61" t="str">
        <f t="shared" si="11"/>
        <v>[60]={[1]="DIVIDER2"; [2]={["ENGLISH"] = ""; }; };</v>
      </c>
      <c r="P61" t="str">
        <f t="shared" si="12"/>
        <v/>
      </c>
      <c r="Q61" t="str">
        <f t="shared" si="13"/>
        <v>[1]=0x700569EA;</v>
      </c>
      <c r="R61" t="str">
        <f t="shared" si="14"/>
        <v/>
      </c>
      <c r="S61" t="str">
        <f t="shared" si="15"/>
        <v>[2]={["SPRING_FESTIVAL"]=15;};</v>
      </c>
      <c r="T61" t="str">
        <f t="shared" si="16"/>
        <v>["SPRING_FESTIVAL"]=15;</v>
      </c>
      <c r="U61" t="str">
        <f t="shared" si="17"/>
        <v/>
      </c>
      <c r="V61" t="str">
        <f t="shared" si="18"/>
        <v/>
      </c>
      <c r="W61" t="str">
        <f t="shared" si="19"/>
        <v/>
      </c>
      <c r="X61" t="str">
        <f t="shared" si="20"/>
        <v/>
      </c>
      <c r="Y61" t="str">
        <f t="shared" si="21"/>
        <v/>
      </c>
    </row>
    <row r="62" spans="3:25" x14ac:dyDescent="0.25">
      <c r="C62" t="s">
        <v>111</v>
      </c>
      <c r="D62" s="1" t="s">
        <v>137</v>
      </c>
      <c r="F62">
        <v>13</v>
      </c>
      <c r="M62" t="str">
        <f t="shared" si="9"/>
        <v>[61]={[2]={["SPRING_FESTIVAL"]=13;};[1]=0x70052BE4;}; --Cloak of the Mountain Meadow</v>
      </c>
      <c r="N62" t="str">
        <f t="shared" si="10"/>
        <v>[61]={[1]="DIVIDER1"; [2]={["ENGLISH"] = ""; }; };</v>
      </c>
      <c r="O62" t="str">
        <f t="shared" si="11"/>
        <v>[61]={[1]="DIVIDER2"; [2]={["ENGLISH"] = ""; }; };</v>
      </c>
      <c r="P62" t="str">
        <f t="shared" si="12"/>
        <v/>
      </c>
      <c r="Q62" t="str">
        <f t="shared" si="13"/>
        <v>[1]=0x70052BE4;</v>
      </c>
      <c r="R62" t="str">
        <f t="shared" si="14"/>
        <v/>
      </c>
      <c r="S62" t="str">
        <f t="shared" si="15"/>
        <v>[2]={["SPRING_FESTIVAL"]=13;};</v>
      </c>
      <c r="T62" t="str">
        <f t="shared" si="16"/>
        <v>["SPRING_FESTIVAL"]=13;</v>
      </c>
      <c r="U62" t="str">
        <f t="shared" si="17"/>
        <v/>
      </c>
      <c r="V62" t="str">
        <f t="shared" si="18"/>
        <v/>
      </c>
      <c r="W62" t="str">
        <f t="shared" si="19"/>
        <v/>
      </c>
      <c r="X62" t="str">
        <f t="shared" si="20"/>
        <v/>
      </c>
      <c r="Y62" t="str">
        <f t="shared" si="21"/>
        <v/>
      </c>
    </row>
    <row r="63" spans="3:25" x14ac:dyDescent="0.25">
      <c r="C63" t="s">
        <v>112</v>
      </c>
      <c r="D63" s="1" t="s">
        <v>138</v>
      </c>
      <c r="F63">
        <v>13</v>
      </c>
      <c r="M63" t="str">
        <f t="shared" si="9"/>
        <v>[62]={[2]={["SPRING_FESTIVAL"]=13;};[1]=0x70052BE6;}; --Hooded Cloak of the Mountain Meadow</v>
      </c>
      <c r="N63" t="str">
        <f t="shared" si="10"/>
        <v>[62]={[1]="DIVIDER1"; [2]={["ENGLISH"] = ""; }; };</v>
      </c>
      <c r="O63" t="str">
        <f t="shared" si="11"/>
        <v>[62]={[1]="DIVIDER2"; [2]={["ENGLISH"] = ""; }; };</v>
      </c>
      <c r="P63" t="str">
        <f t="shared" si="12"/>
        <v/>
      </c>
      <c r="Q63" t="str">
        <f t="shared" si="13"/>
        <v>[1]=0x70052BE6;</v>
      </c>
      <c r="R63" t="str">
        <f t="shared" si="14"/>
        <v/>
      </c>
      <c r="S63" t="str">
        <f t="shared" si="15"/>
        <v>[2]={["SPRING_FESTIVAL"]=13;};</v>
      </c>
      <c r="T63" t="str">
        <f t="shared" si="16"/>
        <v>["SPRING_FESTIVAL"]=13;</v>
      </c>
      <c r="U63" t="str">
        <f t="shared" si="17"/>
        <v/>
      </c>
      <c r="V63" t="str">
        <f t="shared" si="18"/>
        <v/>
      </c>
      <c r="W63" t="str">
        <f t="shared" si="19"/>
        <v/>
      </c>
      <c r="X63" t="str">
        <f t="shared" si="20"/>
        <v/>
      </c>
      <c r="Y63" t="str">
        <f t="shared" si="21"/>
        <v/>
      </c>
    </row>
    <row r="64" spans="3:25" x14ac:dyDescent="0.25">
      <c r="C64" t="s">
        <v>113</v>
      </c>
      <c r="D64" s="1" t="s">
        <v>139</v>
      </c>
      <c r="F64">
        <v>10</v>
      </c>
      <c r="M64" t="str">
        <f t="shared" si="9"/>
        <v>[63]={[2]={["SPRING_FESTIVAL"]=10;};[1]=0x7004D879;}; --Lonely Mountain Fiddle</v>
      </c>
      <c r="N64" t="str">
        <f t="shared" si="10"/>
        <v>[63]={[1]="DIVIDER1"; [2]={["ENGLISH"] = ""; }; };</v>
      </c>
      <c r="O64" t="str">
        <f t="shared" si="11"/>
        <v>[63]={[1]="DIVIDER2"; [2]={["ENGLISH"] = ""; }; };</v>
      </c>
      <c r="P64" t="str">
        <f t="shared" si="12"/>
        <v/>
      </c>
      <c r="Q64" t="str">
        <f t="shared" si="13"/>
        <v>[1]=0x7004D879;</v>
      </c>
      <c r="R64" t="str">
        <f t="shared" si="14"/>
        <v/>
      </c>
      <c r="S64" t="str">
        <f t="shared" si="15"/>
        <v>[2]={["SPRING_FESTIVAL"]=10;};</v>
      </c>
      <c r="T64" t="str">
        <f t="shared" si="16"/>
        <v>["SPRING_FESTIVAL"]=10;</v>
      </c>
      <c r="U64" t="str">
        <f t="shared" si="17"/>
        <v/>
      </c>
      <c r="V64" t="str">
        <f t="shared" si="18"/>
        <v/>
      </c>
      <c r="W64" t="str">
        <f t="shared" si="19"/>
        <v/>
      </c>
      <c r="X64" t="str">
        <f t="shared" si="20"/>
        <v/>
      </c>
      <c r="Y64" t="str">
        <f t="shared" si="21"/>
        <v/>
      </c>
    </row>
    <row r="65" spans="2:25" x14ac:dyDescent="0.25">
      <c r="C65" t="s">
        <v>114</v>
      </c>
      <c r="D65" s="1" t="s">
        <v>140</v>
      </c>
      <c r="F65">
        <v>25</v>
      </c>
      <c r="M65" t="str">
        <f t="shared" si="9"/>
        <v>[64]={[2]={["SPRING_FESTIVAL"]=25;};[1]=0x7004D87A;}; --Sprightly Fiddle</v>
      </c>
      <c r="N65" t="str">
        <f t="shared" si="10"/>
        <v>[64]={[1]="DIVIDER1"; [2]={["ENGLISH"] = ""; }; };</v>
      </c>
      <c r="O65" t="str">
        <f t="shared" si="11"/>
        <v>[64]={[1]="DIVIDER2"; [2]={["ENGLISH"] = ""; }; };</v>
      </c>
      <c r="P65" t="str">
        <f t="shared" si="12"/>
        <v/>
      </c>
      <c r="Q65" t="str">
        <f t="shared" si="13"/>
        <v>[1]=0x7004D87A;</v>
      </c>
      <c r="R65" t="str">
        <f t="shared" si="14"/>
        <v/>
      </c>
      <c r="S65" t="str">
        <f t="shared" si="15"/>
        <v>[2]={["SPRING_FESTIVAL"]=25;};</v>
      </c>
      <c r="T65" t="str">
        <f t="shared" si="16"/>
        <v>["SPRING_FESTIVAL"]=25;</v>
      </c>
      <c r="U65" t="str">
        <f t="shared" si="17"/>
        <v/>
      </c>
      <c r="V65" t="str">
        <f t="shared" si="18"/>
        <v/>
      </c>
      <c r="W65" t="str">
        <f t="shared" si="19"/>
        <v/>
      </c>
      <c r="X65" t="str">
        <f t="shared" si="20"/>
        <v/>
      </c>
      <c r="Y65" t="str">
        <f t="shared" si="21"/>
        <v/>
      </c>
    </row>
    <row r="66" spans="2:25" x14ac:dyDescent="0.25">
      <c r="B66" t="s">
        <v>115</v>
      </c>
      <c r="M66" t="str">
        <f t="shared" si="9"/>
        <v>[65]={[1]="DIVIDER2"; [2]={["ENGLISH"] = "Cosmetics - Part 2"; }; };</v>
      </c>
      <c r="N66" t="str">
        <f t="shared" si="10"/>
        <v>[65]={[1]="DIVIDER1"; [2]={["ENGLISH"] = ""; }; };</v>
      </c>
      <c r="O66" t="str">
        <f t="shared" si="11"/>
        <v>[65]={[1]="DIVIDER2"; [2]={["ENGLISH"] = "Cosmetics - Part 2"; }; };</v>
      </c>
      <c r="P66" t="str">
        <f t="shared" si="12"/>
        <v/>
      </c>
      <c r="Q66" t="str">
        <f t="shared" si="13"/>
        <v>[1]=;</v>
      </c>
      <c r="R66" t="str">
        <f t="shared" si="14"/>
        <v/>
      </c>
      <c r="S66" t="str">
        <f t="shared" si="15"/>
        <v>[2]={};</v>
      </c>
      <c r="T66" t="str">
        <f t="shared" si="16"/>
        <v/>
      </c>
      <c r="U66" t="str">
        <f t="shared" si="17"/>
        <v/>
      </c>
      <c r="V66" t="str">
        <f t="shared" si="18"/>
        <v/>
      </c>
      <c r="W66" t="str">
        <f t="shared" si="19"/>
        <v/>
      </c>
      <c r="X66" t="str">
        <f t="shared" si="20"/>
        <v/>
      </c>
      <c r="Y66" t="str">
        <f t="shared" si="21"/>
        <v/>
      </c>
    </row>
    <row r="67" spans="2:25" x14ac:dyDescent="0.25">
      <c r="C67" t="s">
        <v>116</v>
      </c>
      <c r="D67" s="1" t="s">
        <v>141</v>
      </c>
      <c r="F67">
        <v>13</v>
      </c>
      <c r="M67" t="str">
        <f t="shared" ref="M67:M130" si="22">IF(
  NOT(ISBLANK(A67)),
  N67,
  IF(
    NOT(ISBLANK(B67)),
    O67,
    CONCATENATE("[",ROW()-1,"]={",R67,S67,Q67,"};"," --",C67)
  )
)</f>
        <v>[66]={[2]={["SPRING_FESTIVAL"]=13;};[1]=0x70052BE2;}; --Tunic Set of the Mountain Meadow</v>
      </c>
      <c r="N67" t="str">
        <f t="shared" ref="N67:N130" si="23">CONCATENATE("[",ROW()-1,"]={[1]=""DIVIDER1""; [2]={[""ENGLISH""] = """,A67,"""; }; ",P67,"};")</f>
        <v>[66]={[1]="DIVIDER1"; [2]={["ENGLISH"] = ""; }; };</v>
      </c>
      <c r="O67" t="str">
        <f t="shared" ref="O67:O130" si="24">CONCATENATE("[",ROW()-1,"]={[1]=""DIVIDER2""; [2]={[""ENGLISH""] = """,B67,"""; }; ",P67,"};")</f>
        <v>[66]={[1]="DIVIDER2"; [2]={["ENGLISH"] = ""; }; };</v>
      </c>
      <c r="P67" t="str">
        <f t="shared" ref="P67:P130" si="25">IF(LEN(L67)&gt;0,CONCATENATE("[""DIVIDER_HEIGHT""] = ",L67,";"),"")</f>
        <v/>
      </c>
      <c r="Q67" t="str">
        <f t="shared" ref="Q67:Q130" si="26">CONCATENATE("[1]=",D67,";")</f>
        <v>[1]=0x70052BE2;</v>
      </c>
      <c r="R67" t="str">
        <f t="shared" ref="R67:R130" si="27">IF(E67&gt;0,CONCATENATE("[3]=",E67,";"),"")</f>
        <v/>
      </c>
      <c r="S67" t="str">
        <f t="shared" ref="S67:S130" si="28">_xlfn.TEXTJOIN("",TRUE,"[2]={",T67:Y67,"};")</f>
        <v>[2]={["SPRING_FESTIVAL"]=13;};</v>
      </c>
      <c r="T67" t="str">
        <f t="shared" ref="T67:T130" si="29">IF(F67&gt;0,CONCATENATE("[""",F$1,"""]=",F67,";"),"")</f>
        <v>["SPRING_FESTIVAL"]=13;</v>
      </c>
      <c r="U67" t="str">
        <f t="shared" ref="U67:U130" si="30">IF(G67&gt;0,CONCATENATE("[""",G$1,"""]=",G67,";"),"")</f>
        <v/>
      </c>
      <c r="V67" t="str">
        <f t="shared" ref="V67:V130" si="31">IF(H67&gt;0,CONCATENATE("[""",H$1,"""]=",H67,";"),"")</f>
        <v/>
      </c>
      <c r="W67" t="str">
        <f t="shared" ref="W67:W130" si="32">IF(I67&gt;0,CONCATENATE("[""",I$1,"""]=",I67,";"),"")</f>
        <v/>
      </c>
      <c r="X67" t="str">
        <f t="shared" ref="X67:X130" si="33">IF(J67&gt;0,CONCATENATE("[""",J$1,"""]=",J67,";"),"")</f>
        <v/>
      </c>
      <c r="Y67" t="str">
        <f t="shared" ref="Y67:Y130" si="34">IF(K67&gt;0,CONCATENATE("[""",K$1,"""]=",K67,";"),"")</f>
        <v/>
      </c>
    </row>
    <row r="68" spans="2:25" x14ac:dyDescent="0.25">
      <c r="C68" t="s">
        <v>117</v>
      </c>
      <c r="D68" s="1" t="s">
        <v>142</v>
      </c>
      <c r="F68">
        <v>13</v>
      </c>
      <c r="M68" t="str">
        <f t="shared" si="22"/>
        <v>[67]={[2]={["SPRING_FESTIVAL"]=13;};[1]=0x70052BE7;}; --Long-sleeved Dress of the Mountain Meadow</v>
      </c>
      <c r="N68" t="str">
        <f t="shared" si="23"/>
        <v>[67]={[1]="DIVIDER1"; [2]={["ENGLISH"] = ""; }; };</v>
      </c>
      <c r="O68" t="str">
        <f t="shared" si="24"/>
        <v>[67]={[1]="DIVIDER2"; [2]={["ENGLISH"] = ""; }; };</v>
      </c>
      <c r="P68" t="str">
        <f t="shared" si="25"/>
        <v/>
      </c>
      <c r="Q68" t="str">
        <f t="shared" si="26"/>
        <v>[1]=0x70052BE7;</v>
      </c>
      <c r="R68" t="str">
        <f t="shared" si="27"/>
        <v/>
      </c>
      <c r="S68" t="str">
        <f t="shared" si="28"/>
        <v>[2]={["SPRING_FESTIVAL"]=13;};</v>
      </c>
      <c r="T68" t="str">
        <f t="shared" si="29"/>
        <v>["SPRING_FESTIVAL"]=13;</v>
      </c>
      <c r="U68" t="str">
        <f t="shared" si="30"/>
        <v/>
      </c>
      <c r="V68" t="str">
        <f t="shared" si="31"/>
        <v/>
      </c>
      <c r="W68" t="str">
        <f t="shared" si="32"/>
        <v/>
      </c>
      <c r="X68" t="str">
        <f t="shared" si="33"/>
        <v/>
      </c>
      <c r="Y68" t="str">
        <f t="shared" si="34"/>
        <v/>
      </c>
    </row>
    <row r="69" spans="2:25" x14ac:dyDescent="0.25">
      <c r="C69" t="s">
        <v>118</v>
      </c>
      <c r="D69" s="1" t="s">
        <v>143</v>
      </c>
      <c r="F69">
        <v>13</v>
      </c>
      <c r="M69" t="str">
        <f t="shared" si="22"/>
        <v>[68]={[2]={["SPRING_FESTIVAL"]=13;};[1]=0x70052BE3;}; --Sleeveless Dress of the Mountain Meadow</v>
      </c>
      <c r="N69" t="str">
        <f t="shared" si="23"/>
        <v>[68]={[1]="DIVIDER1"; [2]={["ENGLISH"] = ""; }; };</v>
      </c>
      <c r="O69" t="str">
        <f t="shared" si="24"/>
        <v>[68]={[1]="DIVIDER2"; [2]={["ENGLISH"] = ""; }; };</v>
      </c>
      <c r="P69" t="str">
        <f t="shared" si="25"/>
        <v/>
      </c>
      <c r="Q69" t="str">
        <f t="shared" si="26"/>
        <v>[1]=0x70052BE3;</v>
      </c>
      <c r="R69" t="str">
        <f t="shared" si="27"/>
        <v/>
      </c>
      <c r="S69" t="str">
        <f t="shared" si="28"/>
        <v>[2]={["SPRING_FESTIVAL"]=13;};</v>
      </c>
      <c r="T69" t="str">
        <f t="shared" si="29"/>
        <v>["SPRING_FESTIVAL"]=13;</v>
      </c>
      <c r="U69" t="str">
        <f t="shared" si="30"/>
        <v/>
      </c>
      <c r="V69" t="str">
        <f t="shared" si="31"/>
        <v/>
      </c>
      <c r="W69" t="str">
        <f t="shared" si="32"/>
        <v/>
      </c>
      <c r="X69" t="str">
        <f t="shared" si="33"/>
        <v/>
      </c>
      <c r="Y69" t="str">
        <f t="shared" si="34"/>
        <v/>
      </c>
    </row>
    <row r="70" spans="2:25" x14ac:dyDescent="0.25">
      <c r="C70" t="s">
        <v>119</v>
      </c>
      <c r="D70" s="1" t="s">
        <v>144</v>
      </c>
      <c r="F70">
        <v>13</v>
      </c>
      <c r="M70" t="str">
        <f t="shared" si="22"/>
        <v>[69]={[2]={["SPRING_FESTIVAL"]=13;};[1]=0x70052BE8;}; --Cap-sleeved Dress of the Mountain Meadow</v>
      </c>
      <c r="N70" t="str">
        <f t="shared" si="23"/>
        <v>[69]={[1]="DIVIDER1"; [2]={["ENGLISH"] = ""; }; };</v>
      </c>
      <c r="O70" t="str">
        <f t="shared" si="24"/>
        <v>[69]={[1]="DIVIDER2"; [2]={["ENGLISH"] = ""; }; };</v>
      </c>
      <c r="P70" t="str">
        <f t="shared" si="25"/>
        <v/>
      </c>
      <c r="Q70" t="str">
        <f t="shared" si="26"/>
        <v>[1]=0x70052BE8;</v>
      </c>
      <c r="R70" t="str">
        <f t="shared" si="27"/>
        <v/>
      </c>
      <c r="S70" t="str">
        <f t="shared" si="28"/>
        <v>[2]={["SPRING_FESTIVAL"]=13;};</v>
      </c>
      <c r="T70" t="str">
        <f t="shared" si="29"/>
        <v>["SPRING_FESTIVAL"]=13;</v>
      </c>
      <c r="U70" t="str">
        <f t="shared" si="30"/>
        <v/>
      </c>
      <c r="V70" t="str">
        <f t="shared" si="31"/>
        <v/>
      </c>
      <c r="W70" t="str">
        <f t="shared" si="32"/>
        <v/>
      </c>
      <c r="X70" t="str">
        <f t="shared" si="33"/>
        <v/>
      </c>
      <c r="Y70" t="str">
        <f t="shared" si="34"/>
        <v/>
      </c>
    </row>
    <row r="71" spans="2:25" x14ac:dyDescent="0.25">
      <c r="C71" t="s">
        <v>120</v>
      </c>
      <c r="D71" s="1" t="s">
        <v>145</v>
      </c>
      <c r="F71">
        <v>13</v>
      </c>
      <c r="M71" t="str">
        <f t="shared" si="22"/>
        <v>[70]={[2]={["SPRING_FESTIVAL"]=13;};[1]=0x70052BE5;}; --Cap of the Mountain Meadow</v>
      </c>
      <c r="N71" t="str">
        <f t="shared" si="23"/>
        <v>[70]={[1]="DIVIDER1"; [2]={["ENGLISH"] = ""; }; };</v>
      </c>
      <c r="O71" t="str">
        <f t="shared" si="24"/>
        <v>[70]={[1]="DIVIDER2"; [2]={["ENGLISH"] = ""; }; };</v>
      </c>
      <c r="P71" t="str">
        <f t="shared" si="25"/>
        <v/>
      </c>
      <c r="Q71" t="str">
        <f t="shared" si="26"/>
        <v>[1]=0x70052BE5;</v>
      </c>
      <c r="R71" t="str">
        <f t="shared" si="27"/>
        <v/>
      </c>
      <c r="S71" t="str">
        <f t="shared" si="28"/>
        <v>[2]={["SPRING_FESTIVAL"]=13;};</v>
      </c>
      <c r="T71" t="str">
        <f t="shared" si="29"/>
        <v>["SPRING_FESTIVAL"]=13;</v>
      </c>
      <c r="U71" t="str">
        <f t="shared" si="30"/>
        <v/>
      </c>
      <c r="V71" t="str">
        <f t="shared" si="31"/>
        <v/>
      </c>
      <c r="W71" t="str">
        <f t="shared" si="32"/>
        <v/>
      </c>
      <c r="X71" t="str">
        <f t="shared" si="33"/>
        <v/>
      </c>
      <c r="Y71" t="str">
        <f t="shared" si="34"/>
        <v/>
      </c>
    </row>
    <row r="72" spans="2:25" x14ac:dyDescent="0.25">
      <c r="C72" t="s">
        <v>121</v>
      </c>
      <c r="D72" s="1" t="s">
        <v>146</v>
      </c>
      <c r="F72">
        <v>13</v>
      </c>
      <c r="M72" t="str">
        <f t="shared" si="22"/>
        <v>[71]={[2]={["SPRING_FESTIVAL"]=13;};[1]=0x7004D812;}; --Lasgalen Spring Dress</v>
      </c>
      <c r="N72" t="str">
        <f t="shared" si="23"/>
        <v>[71]={[1]="DIVIDER1"; [2]={["ENGLISH"] = ""; }; };</v>
      </c>
      <c r="O72" t="str">
        <f t="shared" si="24"/>
        <v>[71]={[1]="DIVIDER2"; [2]={["ENGLISH"] = ""; }; };</v>
      </c>
      <c r="P72" t="str">
        <f t="shared" si="25"/>
        <v/>
      </c>
      <c r="Q72" t="str">
        <f t="shared" si="26"/>
        <v>[1]=0x7004D812;</v>
      </c>
      <c r="R72" t="str">
        <f t="shared" si="27"/>
        <v/>
      </c>
      <c r="S72" t="str">
        <f t="shared" si="28"/>
        <v>[2]={["SPRING_FESTIVAL"]=13;};</v>
      </c>
      <c r="T72" t="str">
        <f t="shared" si="29"/>
        <v>["SPRING_FESTIVAL"]=13;</v>
      </c>
      <c r="U72" t="str">
        <f t="shared" si="30"/>
        <v/>
      </c>
      <c r="V72" t="str">
        <f t="shared" si="31"/>
        <v/>
      </c>
      <c r="W72" t="str">
        <f t="shared" si="32"/>
        <v/>
      </c>
      <c r="X72" t="str">
        <f t="shared" si="33"/>
        <v/>
      </c>
      <c r="Y72" t="str">
        <f t="shared" si="34"/>
        <v/>
      </c>
    </row>
    <row r="73" spans="2:25" x14ac:dyDescent="0.25">
      <c r="C73" t="s">
        <v>122</v>
      </c>
      <c r="D73" s="1" t="s">
        <v>147</v>
      </c>
      <c r="F73">
        <v>13</v>
      </c>
      <c r="M73" t="str">
        <f t="shared" si="22"/>
        <v>[72]={[2]={["SPRING_FESTIVAL"]=13;};[1]=0x7004D811;}; --Lasgalen Spring Tunic and Trousers</v>
      </c>
      <c r="N73" t="str">
        <f t="shared" si="23"/>
        <v>[72]={[1]="DIVIDER1"; [2]={["ENGLISH"] = ""; }; };</v>
      </c>
      <c r="O73" t="str">
        <f t="shared" si="24"/>
        <v>[72]={[1]="DIVIDER2"; [2]={["ENGLISH"] = ""; }; };</v>
      </c>
      <c r="P73" t="str">
        <f t="shared" si="25"/>
        <v/>
      </c>
      <c r="Q73" t="str">
        <f t="shared" si="26"/>
        <v>[1]=0x7004D811;</v>
      </c>
      <c r="R73" t="str">
        <f t="shared" si="27"/>
        <v/>
      </c>
      <c r="S73" t="str">
        <f t="shared" si="28"/>
        <v>[2]={["SPRING_FESTIVAL"]=13;};</v>
      </c>
      <c r="T73" t="str">
        <f t="shared" si="29"/>
        <v>["SPRING_FESTIVAL"]=13;</v>
      </c>
      <c r="U73" t="str">
        <f t="shared" si="30"/>
        <v/>
      </c>
      <c r="V73" t="str">
        <f t="shared" si="31"/>
        <v/>
      </c>
      <c r="W73" t="str">
        <f t="shared" si="32"/>
        <v/>
      </c>
      <c r="X73" t="str">
        <f t="shared" si="33"/>
        <v/>
      </c>
      <c r="Y73" t="str">
        <f t="shared" si="34"/>
        <v/>
      </c>
    </row>
    <row r="74" spans="2:25" x14ac:dyDescent="0.25">
      <c r="C74" t="s">
        <v>148</v>
      </c>
      <c r="D74" s="1" t="s">
        <v>161</v>
      </c>
      <c r="F74">
        <v>13</v>
      </c>
      <c r="M74" t="str">
        <f t="shared" si="22"/>
        <v>[73]={[2]={["SPRING_FESTIVAL"]=13;};[1]=0x7004D80F;}; --Lasgalen Spring Dress Boots</v>
      </c>
      <c r="N74" t="str">
        <f t="shared" si="23"/>
        <v>[73]={[1]="DIVIDER1"; [2]={["ENGLISH"] = ""; }; };</v>
      </c>
      <c r="O74" t="str">
        <f t="shared" si="24"/>
        <v>[73]={[1]="DIVIDER2"; [2]={["ENGLISH"] = ""; }; };</v>
      </c>
      <c r="P74" t="str">
        <f t="shared" si="25"/>
        <v/>
      </c>
      <c r="Q74" t="str">
        <f t="shared" si="26"/>
        <v>[1]=0x7004D80F;</v>
      </c>
      <c r="R74" t="str">
        <f t="shared" si="27"/>
        <v/>
      </c>
      <c r="S74" t="str">
        <f t="shared" si="28"/>
        <v>[2]={["SPRING_FESTIVAL"]=13;};</v>
      </c>
      <c r="T74" t="str">
        <f t="shared" si="29"/>
        <v>["SPRING_FESTIVAL"]=13;</v>
      </c>
      <c r="U74" t="str">
        <f t="shared" si="30"/>
        <v/>
      </c>
      <c r="V74" t="str">
        <f t="shared" si="31"/>
        <v/>
      </c>
      <c r="W74" t="str">
        <f t="shared" si="32"/>
        <v/>
      </c>
      <c r="X74" t="str">
        <f t="shared" si="33"/>
        <v/>
      </c>
      <c r="Y74" t="str">
        <f t="shared" si="34"/>
        <v/>
      </c>
    </row>
    <row r="75" spans="2:25" x14ac:dyDescent="0.25">
      <c r="C75" t="s">
        <v>149</v>
      </c>
      <c r="D75" s="1" t="s">
        <v>162</v>
      </c>
      <c r="F75">
        <v>13</v>
      </c>
      <c r="M75" t="str">
        <f t="shared" si="22"/>
        <v>[74]={[2]={["SPRING_FESTIVAL"]=13;};[1]=0x7004D838;}; --Lasgalen Spring Pack</v>
      </c>
      <c r="N75" t="str">
        <f t="shared" si="23"/>
        <v>[74]={[1]="DIVIDER1"; [2]={["ENGLISH"] = ""; }; };</v>
      </c>
      <c r="O75" t="str">
        <f t="shared" si="24"/>
        <v>[74]={[1]="DIVIDER2"; [2]={["ENGLISH"] = ""; }; };</v>
      </c>
      <c r="P75" t="str">
        <f t="shared" si="25"/>
        <v/>
      </c>
      <c r="Q75" t="str">
        <f t="shared" si="26"/>
        <v>[1]=0x7004D838;</v>
      </c>
      <c r="R75" t="str">
        <f t="shared" si="27"/>
        <v/>
      </c>
      <c r="S75" t="str">
        <f t="shared" si="28"/>
        <v>[2]={["SPRING_FESTIVAL"]=13;};</v>
      </c>
      <c r="T75" t="str">
        <f t="shared" si="29"/>
        <v>["SPRING_FESTIVAL"]=13;</v>
      </c>
      <c r="U75" t="str">
        <f t="shared" si="30"/>
        <v/>
      </c>
      <c r="V75" t="str">
        <f t="shared" si="31"/>
        <v/>
      </c>
      <c r="W75" t="str">
        <f t="shared" si="32"/>
        <v/>
      </c>
      <c r="X75" t="str">
        <f t="shared" si="33"/>
        <v/>
      </c>
      <c r="Y75" t="str">
        <f t="shared" si="34"/>
        <v/>
      </c>
    </row>
    <row r="76" spans="2:25" x14ac:dyDescent="0.25">
      <c r="C76" t="s">
        <v>150</v>
      </c>
      <c r="D76" s="1" t="s">
        <v>163</v>
      </c>
      <c r="F76">
        <v>13</v>
      </c>
      <c r="M76" t="str">
        <f t="shared" si="22"/>
        <v>[75]={[2]={["SPRING_FESTIVAL"]=13;};[1]=0x700485CB;}; --Cloak of the Moth</v>
      </c>
      <c r="N76" t="str">
        <f t="shared" si="23"/>
        <v>[75]={[1]="DIVIDER1"; [2]={["ENGLISH"] = ""; }; };</v>
      </c>
      <c r="O76" t="str">
        <f t="shared" si="24"/>
        <v>[75]={[1]="DIVIDER2"; [2]={["ENGLISH"] = ""; }; };</v>
      </c>
      <c r="P76" t="str">
        <f t="shared" si="25"/>
        <v/>
      </c>
      <c r="Q76" t="str">
        <f t="shared" si="26"/>
        <v>[1]=0x700485CB;</v>
      </c>
      <c r="R76" t="str">
        <f t="shared" si="27"/>
        <v/>
      </c>
      <c r="S76" t="str">
        <f t="shared" si="28"/>
        <v>[2]={["SPRING_FESTIVAL"]=13;};</v>
      </c>
      <c r="T76" t="str">
        <f t="shared" si="29"/>
        <v>["SPRING_FESTIVAL"]=13;</v>
      </c>
      <c r="U76" t="str">
        <f t="shared" si="30"/>
        <v/>
      </c>
      <c r="V76" t="str">
        <f t="shared" si="31"/>
        <v/>
      </c>
      <c r="W76" t="str">
        <f t="shared" si="32"/>
        <v/>
      </c>
      <c r="X76" t="str">
        <f t="shared" si="33"/>
        <v/>
      </c>
      <c r="Y76" t="str">
        <f t="shared" si="34"/>
        <v/>
      </c>
    </row>
    <row r="77" spans="2:25" x14ac:dyDescent="0.25">
      <c r="C77" t="s">
        <v>151</v>
      </c>
      <c r="D77" s="1" t="s">
        <v>164</v>
      </c>
      <c r="F77">
        <v>13</v>
      </c>
      <c r="M77" t="str">
        <f t="shared" si="22"/>
        <v>[76]={[2]={["SPRING_FESTIVAL"]=13;};[1]=0x700486F7;}; --Hooded Cloak of the Moth</v>
      </c>
      <c r="N77" t="str">
        <f t="shared" si="23"/>
        <v>[76]={[1]="DIVIDER1"; [2]={["ENGLISH"] = ""; }; };</v>
      </c>
      <c r="O77" t="str">
        <f t="shared" si="24"/>
        <v>[76]={[1]="DIVIDER2"; [2]={["ENGLISH"] = ""; }; };</v>
      </c>
      <c r="P77" t="str">
        <f t="shared" si="25"/>
        <v/>
      </c>
      <c r="Q77" t="str">
        <f t="shared" si="26"/>
        <v>[1]=0x700486F7;</v>
      </c>
      <c r="R77" t="str">
        <f t="shared" si="27"/>
        <v/>
      </c>
      <c r="S77" t="str">
        <f t="shared" si="28"/>
        <v>[2]={["SPRING_FESTIVAL"]=13;};</v>
      </c>
      <c r="T77" t="str">
        <f t="shared" si="29"/>
        <v>["SPRING_FESTIVAL"]=13;</v>
      </c>
      <c r="U77" t="str">
        <f t="shared" si="30"/>
        <v/>
      </c>
      <c r="V77" t="str">
        <f t="shared" si="31"/>
        <v/>
      </c>
      <c r="W77" t="str">
        <f t="shared" si="32"/>
        <v/>
      </c>
      <c r="X77" t="str">
        <f t="shared" si="33"/>
        <v/>
      </c>
      <c r="Y77" t="str">
        <f t="shared" si="34"/>
        <v/>
      </c>
    </row>
    <row r="78" spans="2:25" x14ac:dyDescent="0.25">
      <c r="C78" t="s">
        <v>152</v>
      </c>
      <c r="D78" s="1" t="s">
        <v>165</v>
      </c>
      <c r="F78">
        <v>13</v>
      </c>
      <c r="M78" t="str">
        <f t="shared" si="22"/>
        <v>[77]={[2]={["SPRING_FESTIVAL"]=13;};[1]=0x700485CC;}; --Short-sleeved Dress of the Moth</v>
      </c>
      <c r="N78" t="str">
        <f t="shared" si="23"/>
        <v>[77]={[1]="DIVIDER1"; [2]={["ENGLISH"] = ""; }; };</v>
      </c>
      <c r="O78" t="str">
        <f t="shared" si="24"/>
        <v>[77]={[1]="DIVIDER2"; [2]={["ENGLISH"] = ""; }; };</v>
      </c>
      <c r="P78" t="str">
        <f t="shared" si="25"/>
        <v/>
      </c>
      <c r="Q78" t="str">
        <f t="shared" si="26"/>
        <v>[1]=0x700485CC;</v>
      </c>
      <c r="R78" t="str">
        <f t="shared" si="27"/>
        <v/>
      </c>
      <c r="S78" t="str">
        <f t="shared" si="28"/>
        <v>[2]={["SPRING_FESTIVAL"]=13;};</v>
      </c>
      <c r="T78" t="str">
        <f t="shared" si="29"/>
        <v>["SPRING_FESTIVAL"]=13;</v>
      </c>
      <c r="U78" t="str">
        <f t="shared" si="30"/>
        <v/>
      </c>
      <c r="V78" t="str">
        <f t="shared" si="31"/>
        <v/>
      </c>
      <c r="W78" t="str">
        <f t="shared" si="32"/>
        <v/>
      </c>
      <c r="X78" t="str">
        <f t="shared" si="33"/>
        <v/>
      </c>
      <c r="Y78" t="str">
        <f t="shared" si="34"/>
        <v/>
      </c>
    </row>
    <row r="79" spans="2:25" x14ac:dyDescent="0.25">
      <c r="C79" t="s">
        <v>153</v>
      </c>
      <c r="D79" s="1" t="s">
        <v>166</v>
      </c>
      <c r="F79">
        <v>13</v>
      </c>
      <c r="M79" t="str">
        <f t="shared" si="22"/>
        <v>[78]={[2]={["SPRING_FESTIVAL"]=13;};[1]=0x700487B0;}; --Long-sleeved Dress of the Moth</v>
      </c>
      <c r="N79" t="str">
        <f t="shared" si="23"/>
        <v>[78]={[1]="DIVIDER1"; [2]={["ENGLISH"] = ""; }; };</v>
      </c>
      <c r="O79" t="str">
        <f t="shared" si="24"/>
        <v>[78]={[1]="DIVIDER2"; [2]={["ENGLISH"] = ""; }; };</v>
      </c>
      <c r="P79" t="str">
        <f t="shared" si="25"/>
        <v/>
      </c>
      <c r="Q79" t="str">
        <f t="shared" si="26"/>
        <v>[1]=0x700487B0;</v>
      </c>
      <c r="R79" t="str">
        <f t="shared" si="27"/>
        <v/>
      </c>
      <c r="S79" t="str">
        <f t="shared" si="28"/>
        <v>[2]={["SPRING_FESTIVAL"]=13;};</v>
      </c>
      <c r="T79" t="str">
        <f t="shared" si="29"/>
        <v>["SPRING_FESTIVAL"]=13;</v>
      </c>
      <c r="U79" t="str">
        <f t="shared" si="30"/>
        <v/>
      </c>
      <c r="V79" t="str">
        <f t="shared" si="31"/>
        <v/>
      </c>
      <c r="W79" t="str">
        <f t="shared" si="32"/>
        <v/>
      </c>
      <c r="X79" t="str">
        <f t="shared" si="33"/>
        <v/>
      </c>
      <c r="Y79" t="str">
        <f t="shared" si="34"/>
        <v/>
      </c>
    </row>
    <row r="80" spans="2:25" x14ac:dyDescent="0.25">
      <c r="C80" t="s">
        <v>154</v>
      </c>
      <c r="D80" s="1" t="s">
        <v>167</v>
      </c>
      <c r="F80">
        <v>13</v>
      </c>
      <c r="M80" t="str">
        <f t="shared" si="22"/>
        <v>[79]={[2]={["SPRING_FESTIVAL"]=13;};[1]=0x700487B3;}; --Sleeveless Dress of the Moth</v>
      </c>
      <c r="N80" t="str">
        <f t="shared" si="23"/>
        <v>[79]={[1]="DIVIDER1"; [2]={["ENGLISH"] = ""; }; };</v>
      </c>
      <c r="O80" t="str">
        <f t="shared" si="24"/>
        <v>[79]={[1]="DIVIDER2"; [2]={["ENGLISH"] = ""; }; };</v>
      </c>
      <c r="P80" t="str">
        <f t="shared" si="25"/>
        <v/>
      </c>
      <c r="Q80" t="str">
        <f t="shared" si="26"/>
        <v>[1]=0x700487B3;</v>
      </c>
      <c r="R80" t="str">
        <f t="shared" si="27"/>
        <v/>
      </c>
      <c r="S80" t="str">
        <f t="shared" si="28"/>
        <v>[2]={["SPRING_FESTIVAL"]=13;};</v>
      </c>
      <c r="T80" t="str">
        <f t="shared" si="29"/>
        <v>["SPRING_FESTIVAL"]=13;</v>
      </c>
      <c r="U80" t="str">
        <f t="shared" si="30"/>
        <v/>
      </c>
      <c r="V80" t="str">
        <f t="shared" si="31"/>
        <v/>
      </c>
      <c r="W80" t="str">
        <f t="shared" si="32"/>
        <v/>
      </c>
      <c r="X80" t="str">
        <f t="shared" si="33"/>
        <v/>
      </c>
      <c r="Y80" t="str">
        <f t="shared" si="34"/>
        <v/>
      </c>
    </row>
    <row r="81" spans="2:25" x14ac:dyDescent="0.25">
      <c r="C81" t="s">
        <v>155</v>
      </c>
      <c r="D81" s="1" t="s">
        <v>168</v>
      </c>
      <c r="F81">
        <v>13</v>
      </c>
      <c r="M81" t="str">
        <f t="shared" si="22"/>
        <v>[80]={[2]={["SPRING_FESTIVAL"]=13;};[1]=0x70045274;}; --Sightseer's Jacket</v>
      </c>
      <c r="N81" t="str">
        <f t="shared" si="23"/>
        <v>[80]={[1]="DIVIDER1"; [2]={["ENGLISH"] = ""; }; };</v>
      </c>
      <c r="O81" t="str">
        <f t="shared" si="24"/>
        <v>[80]={[1]="DIVIDER2"; [2]={["ENGLISH"] = ""; }; };</v>
      </c>
      <c r="P81" t="str">
        <f t="shared" si="25"/>
        <v/>
      </c>
      <c r="Q81" t="str">
        <f t="shared" si="26"/>
        <v>[1]=0x70045274;</v>
      </c>
      <c r="R81" t="str">
        <f t="shared" si="27"/>
        <v/>
      </c>
      <c r="S81" t="str">
        <f t="shared" si="28"/>
        <v>[2]={["SPRING_FESTIVAL"]=13;};</v>
      </c>
      <c r="T81" t="str">
        <f t="shared" si="29"/>
        <v>["SPRING_FESTIVAL"]=13;</v>
      </c>
      <c r="U81" t="str">
        <f t="shared" si="30"/>
        <v/>
      </c>
      <c r="V81" t="str">
        <f t="shared" si="31"/>
        <v/>
      </c>
      <c r="W81" t="str">
        <f t="shared" si="32"/>
        <v/>
      </c>
      <c r="X81" t="str">
        <f t="shared" si="33"/>
        <v/>
      </c>
      <c r="Y81" t="str">
        <f t="shared" si="34"/>
        <v/>
      </c>
    </row>
    <row r="82" spans="2:25" x14ac:dyDescent="0.25">
      <c r="C82" t="s">
        <v>156</v>
      </c>
      <c r="D82" s="1" t="s">
        <v>169</v>
      </c>
      <c r="F82">
        <v>13</v>
      </c>
      <c r="M82" t="str">
        <f t="shared" si="22"/>
        <v>[81]={[2]={["SPRING_FESTIVAL"]=13;};[1]=0x70045272;}; --Sightseer's Trousers</v>
      </c>
      <c r="N82" t="str">
        <f t="shared" si="23"/>
        <v>[81]={[1]="DIVIDER1"; [2]={["ENGLISH"] = ""; }; };</v>
      </c>
      <c r="O82" t="str">
        <f t="shared" si="24"/>
        <v>[81]={[1]="DIVIDER2"; [2]={["ENGLISH"] = ""; }; };</v>
      </c>
      <c r="P82" t="str">
        <f t="shared" si="25"/>
        <v/>
      </c>
      <c r="Q82" t="str">
        <f t="shared" si="26"/>
        <v>[1]=0x70045272;</v>
      </c>
      <c r="R82" t="str">
        <f t="shared" si="27"/>
        <v/>
      </c>
      <c r="S82" t="str">
        <f t="shared" si="28"/>
        <v>[2]={["SPRING_FESTIVAL"]=13;};</v>
      </c>
      <c r="T82" t="str">
        <f t="shared" si="29"/>
        <v>["SPRING_FESTIVAL"]=13;</v>
      </c>
      <c r="U82" t="str">
        <f t="shared" si="30"/>
        <v/>
      </c>
      <c r="V82" t="str">
        <f t="shared" si="31"/>
        <v/>
      </c>
      <c r="W82" t="str">
        <f t="shared" si="32"/>
        <v/>
      </c>
      <c r="X82" t="str">
        <f t="shared" si="33"/>
        <v/>
      </c>
      <c r="Y82" t="str">
        <f t="shared" si="34"/>
        <v/>
      </c>
    </row>
    <row r="83" spans="2:25" x14ac:dyDescent="0.25">
      <c r="C83" t="s">
        <v>157</v>
      </c>
      <c r="D83" s="1" t="s">
        <v>170</v>
      </c>
      <c r="F83">
        <v>13</v>
      </c>
      <c r="M83" t="str">
        <f t="shared" si="22"/>
        <v>[82]={[2]={["SPRING_FESTIVAL"]=13;};[1]=0x70045273;}; --Sightseer's Straw Hat</v>
      </c>
      <c r="N83" t="str">
        <f t="shared" si="23"/>
        <v>[82]={[1]="DIVIDER1"; [2]={["ENGLISH"] = ""; }; };</v>
      </c>
      <c r="O83" t="str">
        <f t="shared" si="24"/>
        <v>[82]={[1]="DIVIDER2"; [2]={["ENGLISH"] = ""; }; };</v>
      </c>
      <c r="P83" t="str">
        <f t="shared" si="25"/>
        <v/>
      </c>
      <c r="Q83" t="str">
        <f t="shared" si="26"/>
        <v>[1]=0x70045273;</v>
      </c>
      <c r="R83" t="str">
        <f t="shared" si="27"/>
        <v/>
      </c>
      <c r="S83" t="str">
        <f t="shared" si="28"/>
        <v>[2]={["SPRING_FESTIVAL"]=13;};</v>
      </c>
      <c r="T83" t="str">
        <f t="shared" si="29"/>
        <v>["SPRING_FESTIVAL"]=13;</v>
      </c>
      <c r="U83" t="str">
        <f t="shared" si="30"/>
        <v/>
      </c>
      <c r="V83" t="str">
        <f t="shared" si="31"/>
        <v/>
      </c>
      <c r="W83" t="str">
        <f t="shared" si="32"/>
        <v/>
      </c>
      <c r="X83" t="str">
        <f t="shared" si="33"/>
        <v/>
      </c>
      <c r="Y83" t="str">
        <f t="shared" si="34"/>
        <v/>
      </c>
    </row>
    <row r="84" spans="2:25" x14ac:dyDescent="0.25">
      <c r="C84" t="s">
        <v>158</v>
      </c>
      <c r="D84" s="1" t="s">
        <v>19</v>
      </c>
      <c r="F84">
        <v>13</v>
      </c>
      <c r="M84" t="str">
        <f t="shared" si="22"/>
        <v>[83]={[2]={["SPRING_FESTIVAL"]=13;};[1]=0x7003FC33;}; --Trellis-weave Cloak</v>
      </c>
      <c r="N84" t="str">
        <f t="shared" si="23"/>
        <v>[83]={[1]="DIVIDER1"; [2]={["ENGLISH"] = ""; }; };</v>
      </c>
      <c r="O84" t="str">
        <f t="shared" si="24"/>
        <v>[83]={[1]="DIVIDER2"; [2]={["ENGLISH"] = ""; }; };</v>
      </c>
      <c r="P84" t="str">
        <f t="shared" si="25"/>
        <v/>
      </c>
      <c r="Q84" t="str">
        <f t="shared" si="26"/>
        <v>[1]=0x7003FC33;</v>
      </c>
      <c r="R84" t="str">
        <f t="shared" si="27"/>
        <v/>
      </c>
      <c r="S84" t="str">
        <f t="shared" si="28"/>
        <v>[2]={["SPRING_FESTIVAL"]=13;};</v>
      </c>
      <c r="T84" t="str">
        <f t="shared" si="29"/>
        <v>["SPRING_FESTIVAL"]=13;</v>
      </c>
      <c r="U84" t="str">
        <f t="shared" si="30"/>
        <v/>
      </c>
      <c r="V84" t="str">
        <f t="shared" si="31"/>
        <v/>
      </c>
      <c r="W84" t="str">
        <f t="shared" si="32"/>
        <v/>
      </c>
      <c r="X84" t="str">
        <f t="shared" si="33"/>
        <v/>
      </c>
      <c r="Y84" t="str">
        <f t="shared" si="34"/>
        <v/>
      </c>
    </row>
    <row r="85" spans="2:25" x14ac:dyDescent="0.25">
      <c r="C85" t="s">
        <v>159</v>
      </c>
      <c r="D85" s="1" t="s">
        <v>20</v>
      </c>
      <c r="F85">
        <v>13</v>
      </c>
      <c r="M85" t="str">
        <f t="shared" si="22"/>
        <v>[84]={[2]={["SPRING_FESTIVAL"]=13;};[1]=0x7003FDD2;}; --Hooded Trellis-weave Cloak</v>
      </c>
      <c r="N85" t="str">
        <f t="shared" si="23"/>
        <v>[84]={[1]="DIVIDER1"; [2]={["ENGLISH"] = ""; }; };</v>
      </c>
      <c r="O85" t="str">
        <f t="shared" si="24"/>
        <v>[84]={[1]="DIVIDER2"; [2]={["ENGLISH"] = ""; }; };</v>
      </c>
      <c r="P85" t="str">
        <f t="shared" si="25"/>
        <v/>
      </c>
      <c r="Q85" t="str">
        <f t="shared" si="26"/>
        <v>[1]=0x7003FDD2;</v>
      </c>
      <c r="R85" t="str">
        <f t="shared" si="27"/>
        <v/>
      </c>
      <c r="S85" t="str">
        <f t="shared" si="28"/>
        <v>[2]={["SPRING_FESTIVAL"]=13;};</v>
      </c>
      <c r="T85" t="str">
        <f t="shared" si="29"/>
        <v>["SPRING_FESTIVAL"]=13;</v>
      </c>
      <c r="U85" t="str">
        <f t="shared" si="30"/>
        <v/>
      </c>
      <c r="V85" t="str">
        <f t="shared" si="31"/>
        <v/>
      </c>
      <c r="W85" t="str">
        <f t="shared" si="32"/>
        <v/>
      </c>
      <c r="X85" t="str">
        <f t="shared" si="33"/>
        <v/>
      </c>
      <c r="Y85" t="str">
        <f t="shared" si="34"/>
        <v/>
      </c>
    </row>
    <row r="86" spans="2:25" x14ac:dyDescent="0.25">
      <c r="C86" t="s">
        <v>160</v>
      </c>
      <c r="D86" s="1" t="s">
        <v>21</v>
      </c>
      <c r="F86">
        <v>13</v>
      </c>
      <c r="M86" t="str">
        <f t="shared" si="22"/>
        <v>[85]={[2]={["SPRING_FESTIVAL"]=13;};[1]=0x7003FC30;}; --Trellis-weave Robe</v>
      </c>
      <c r="N86" t="str">
        <f t="shared" si="23"/>
        <v>[85]={[1]="DIVIDER1"; [2]={["ENGLISH"] = ""; }; };</v>
      </c>
      <c r="O86" t="str">
        <f t="shared" si="24"/>
        <v>[85]={[1]="DIVIDER2"; [2]={["ENGLISH"] = ""; }; };</v>
      </c>
      <c r="P86" t="str">
        <f t="shared" si="25"/>
        <v/>
      </c>
      <c r="Q86" t="str">
        <f t="shared" si="26"/>
        <v>[1]=0x7003FC30;</v>
      </c>
      <c r="R86" t="str">
        <f t="shared" si="27"/>
        <v/>
      </c>
      <c r="S86" t="str">
        <f t="shared" si="28"/>
        <v>[2]={["SPRING_FESTIVAL"]=13;};</v>
      </c>
      <c r="T86" t="str">
        <f t="shared" si="29"/>
        <v>["SPRING_FESTIVAL"]=13;</v>
      </c>
      <c r="U86" t="str">
        <f t="shared" si="30"/>
        <v/>
      </c>
      <c r="V86" t="str">
        <f t="shared" si="31"/>
        <v/>
      </c>
      <c r="W86" t="str">
        <f t="shared" si="32"/>
        <v/>
      </c>
      <c r="X86" t="str">
        <f t="shared" si="33"/>
        <v/>
      </c>
      <c r="Y86" t="str">
        <f t="shared" si="34"/>
        <v/>
      </c>
    </row>
    <row r="87" spans="2:25" x14ac:dyDescent="0.25">
      <c r="B87" t="s">
        <v>172</v>
      </c>
      <c r="M87" t="str">
        <f t="shared" si="22"/>
        <v>[86]={[1]="DIVIDER2"; [2]={["ENGLISH"] = "Cosmetics - Part 3"; }; };</v>
      </c>
      <c r="N87" t="str">
        <f t="shared" si="23"/>
        <v>[86]={[1]="DIVIDER1"; [2]={["ENGLISH"] = ""; }; };</v>
      </c>
      <c r="O87" t="str">
        <f t="shared" si="24"/>
        <v>[86]={[1]="DIVIDER2"; [2]={["ENGLISH"] = "Cosmetics - Part 3"; }; };</v>
      </c>
      <c r="P87" t="str">
        <f t="shared" si="25"/>
        <v/>
      </c>
      <c r="Q87" t="str">
        <f t="shared" si="26"/>
        <v>[1]=;</v>
      </c>
      <c r="R87" t="str">
        <f t="shared" si="27"/>
        <v/>
      </c>
      <c r="S87" t="str">
        <f t="shared" si="28"/>
        <v>[2]={};</v>
      </c>
      <c r="T87" t="str">
        <f t="shared" si="29"/>
        <v/>
      </c>
      <c r="U87" t="str">
        <f t="shared" si="30"/>
        <v/>
      </c>
      <c r="V87" t="str">
        <f t="shared" si="31"/>
        <v/>
      </c>
      <c r="W87" t="str">
        <f t="shared" si="32"/>
        <v/>
      </c>
      <c r="X87" t="str">
        <f t="shared" si="33"/>
        <v/>
      </c>
      <c r="Y87" t="str">
        <f t="shared" si="34"/>
        <v/>
      </c>
    </row>
    <row r="88" spans="2:25" x14ac:dyDescent="0.25">
      <c r="C88" t="s">
        <v>173</v>
      </c>
      <c r="D88" s="1" t="s">
        <v>31</v>
      </c>
      <c r="F88">
        <v>13</v>
      </c>
      <c r="M88" t="str">
        <f t="shared" si="22"/>
        <v>[87]={[2]={["SPRING_FESTIVAL"]=13;};[1]=0x70019475;}; --Spring Adventurer's Quiver</v>
      </c>
      <c r="N88" t="str">
        <f t="shared" si="23"/>
        <v>[87]={[1]="DIVIDER1"; [2]={["ENGLISH"] = ""; }; };</v>
      </c>
      <c r="O88" t="str">
        <f t="shared" si="24"/>
        <v>[87]={[1]="DIVIDER2"; [2]={["ENGLISH"] = ""; }; };</v>
      </c>
      <c r="P88" t="str">
        <f t="shared" si="25"/>
        <v/>
      </c>
      <c r="Q88" t="str">
        <f t="shared" si="26"/>
        <v>[1]=0x70019475;</v>
      </c>
      <c r="R88" t="str">
        <f t="shared" si="27"/>
        <v/>
      </c>
      <c r="S88" t="str">
        <f t="shared" si="28"/>
        <v>[2]={["SPRING_FESTIVAL"]=13;};</v>
      </c>
      <c r="T88" t="str">
        <f t="shared" si="29"/>
        <v>["SPRING_FESTIVAL"]=13;</v>
      </c>
      <c r="U88" t="str">
        <f t="shared" si="30"/>
        <v/>
      </c>
      <c r="V88" t="str">
        <f t="shared" si="31"/>
        <v/>
      </c>
      <c r="W88" t="str">
        <f t="shared" si="32"/>
        <v/>
      </c>
      <c r="X88" t="str">
        <f t="shared" si="33"/>
        <v/>
      </c>
      <c r="Y88" t="str">
        <f t="shared" si="34"/>
        <v/>
      </c>
    </row>
    <row r="89" spans="2:25" x14ac:dyDescent="0.25">
      <c r="C89" t="s">
        <v>188</v>
      </c>
      <c r="D89" s="1" t="s">
        <v>32</v>
      </c>
      <c r="F89">
        <v>13</v>
      </c>
      <c r="M89" t="str">
        <f t="shared" si="22"/>
        <v>[88]={[2]={["SPRING_FESTIVAL"]=13;};[1]=0x70019A3B;}; --White Rose Circlet</v>
      </c>
      <c r="N89" t="str">
        <f t="shared" si="23"/>
        <v>[88]={[1]="DIVIDER1"; [2]={["ENGLISH"] = ""; }; };</v>
      </c>
      <c r="O89" t="str">
        <f t="shared" si="24"/>
        <v>[88]={[1]="DIVIDER2"; [2]={["ENGLISH"] = ""; }; };</v>
      </c>
      <c r="P89" t="str">
        <f t="shared" si="25"/>
        <v/>
      </c>
      <c r="Q89" t="str">
        <f t="shared" si="26"/>
        <v>[1]=0x70019A3B;</v>
      </c>
      <c r="R89" t="str">
        <f t="shared" si="27"/>
        <v/>
      </c>
      <c r="S89" t="str">
        <f t="shared" si="28"/>
        <v>[2]={["SPRING_FESTIVAL"]=13;};</v>
      </c>
      <c r="T89" t="str">
        <f t="shared" si="29"/>
        <v>["SPRING_FESTIVAL"]=13;</v>
      </c>
      <c r="U89" t="str">
        <f t="shared" si="30"/>
        <v/>
      </c>
      <c r="V89" t="str">
        <f t="shared" si="31"/>
        <v/>
      </c>
      <c r="W89" t="str">
        <f t="shared" si="32"/>
        <v/>
      </c>
      <c r="X89" t="str">
        <f t="shared" si="33"/>
        <v/>
      </c>
      <c r="Y89" t="str">
        <f t="shared" si="34"/>
        <v/>
      </c>
    </row>
    <row r="90" spans="2:25" x14ac:dyDescent="0.25">
      <c r="C90" t="s">
        <v>174</v>
      </c>
      <c r="D90" s="1" t="s">
        <v>33</v>
      </c>
      <c r="F90">
        <v>13</v>
      </c>
      <c r="M90" t="str">
        <f t="shared" si="22"/>
        <v>[89]={[2]={["SPRING_FESTIVAL"]=13;};[1]=0x70026969;}; --Spring Dandy Cloak</v>
      </c>
      <c r="N90" t="str">
        <f t="shared" si="23"/>
        <v>[89]={[1]="DIVIDER1"; [2]={["ENGLISH"] = ""; }; };</v>
      </c>
      <c r="O90" t="str">
        <f t="shared" si="24"/>
        <v>[89]={[1]="DIVIDER2"; [2]={["ENGLISH"] = ""; }; };</v>
      </c>
      <c r="P90" t="str">
        <f t="shared" si="25"/>
        <v/>
      </c>
      <c r="Q90" t="str">
        <f t="shared" si="26"/>
        <v>[1]=0x70026969;</v>
      </c>
      <c r="R90" t="str">
        <f t="shared" si="27"/>
        <v/>
      </c>
      <c r="S90" t="str">
        <f t="shared" si="28"/>
        <v>[2]={["SPRING_FESTIVAL"]=13;};</v>
      </c>
      <c r="T90" t="str">
        <f t="shared" si="29"/>
        <v>["SPRING_FESTIVAL"]=13;</v>
      </c>
      <c r="U90" t="str">
        <f t="shared" si="30"/>
        <v/>
      </c>
      <c r="V90" t="str">
        <f t="shared" si="31"/>
        <v/>
      </c>
      <c r="W90" t="str">
        <f t="shared" si="32"/>
        <v/>
      </c>
      <c r="X90" t="str">
        <f t="shared" si="33"/>
        <v/>
      </c>
      <c r="Y90" t="str">
        <f t="shared" si="34"/>
        <v/>
      </c>
    </row>
    <row r="91" spans="2:25" x14ac:dyDescent="0.25">
      <c r="C91" t="s">
        <v>175</v>
      </c>
      <c r="D91" s="1" t="s">
        <v>34</v>
      </c>
      <c r="F91">
        <v>13</v>
      </c>
      <c r="M91" t="str">
        <f t="shared" si="22"/>
        <v>[90]={[2]={["SPRING_FESTIVAL"]=13;};[1]=0x70026968;}; --Spring Dandy Hooded Cloak</v>
      </c>
      <c r="N91" t="str">
        <f t="shared" si="23"/>
        <v>[90]={[1]="DIVIDER1"; [2]={["ENGLISH"] = ""; }; };</v>
      </c>
      <c r="O91" t="str">
        <f t="shared" si="24"/>
        <v>[90]={[1]="DIVIDER2"; [2]={["ENGLISH"] = ""; }; };</v>
      </c>
      <c r="P91" t="str">
        <f t="shared" si="25"/>
        <v/>
      </c>
      <c r="Q91" t="str">
        <f t="shared" si="26"/>
        <v>[1]=0x70026968;</v>
      </c>
      <c r="R91" t="str">
        <f t="shared" si="27"/>
        <v/>
      </c>
      <c r="S91" t="str">
        <f t="shared" si="28"/>
        <v>[2]={["SPRING_FESTIVAL"]=13;};</v>
      </c>
      <c r="T91" t="str">
        <f t="shared" si="29"/>
        <v>["SPRING_FESTIVAL"]=13;</v>
      </c>
      <c r="U91" t="str">
        <f t="shared" si="30"/>
        <v/>
      </c>
      <c r="V91" t="str">
        <f t="shared" si="31"/>
        <v/>
      </c>
      <c r="W91" t="str">
        <f t="shared" si="32"/>
        <v/>
      </c>
      <c r="X91" t="str">
        <f t="shared" si="33"/>
        <v/>
      </c>
      <c r="Y91" t="str">
        <f t="shared" si="34"/>
        <v/>
      </c>
    </row>
    <row r="92" spans="2:25" x14ac:dyDescent="0.25">
      <c r="C92" t="s">
        <v>176</v>
      </c>
      <c r="D92" s="1" t="s">
        <v>35</v>
      </c>
      <c r="F92">
        <v>13</v>
      </c>
      <c r="M92" t="str">
        <f t="shared" si="22"/>
        <v>[91]={[2]={["SPRING_FESTIVAL"]=13;};[1]=0x700199F2;}; --Spring-flinger Cloak</v>
      </c>
      <c r="N92" t="str">
        <f t="shared" si="23"/>
        <v>[91]={[1]="DIVIDER1"; [2]={["ENGLISH"] = ""; }; };</v>
      </c>
      <c r="O92" t="str">
        <f t="shared" si="24"/>
        <v>[91]={[1]="DIVIDER2"; [2]={["ENGLISH"] = ""; }; };</v>
      </c>
      <c r="P92" t="str">
        <f t="shared" si="25"/>
        <v/>
      </c>
      <c r="Q92" t="str">
        <f t="shared" si="26"/>
        <v>[1]=0x700199F2;</v>
      </c>
      <c r="R92" t="str">
        <f t="shared" si="27"/>
        <v/>
      </c>
      <c r="S92" t="str">
        <f t="shared" si="28"/>
        <v>[2]={["SPRING_FESTIVAL"]=13;};</v>
      </c>
      <c r="T92" t="str">
        <f t="shared" si="29"/>
        <v>["SPRING_FESTIVAL"]=13;</v>
      </c>
      <c r="U92" t="str">
        <f t="shared" si="30"/>
        <v/>
      </c>
      <c r="V92" t="str">
        <f t="shared" si="31"/>
        <v/>
      </c>
      <c r="W92" t="str">
        <f t="shared" si="32"/>
        <v/>
      </c>
      <c r="X92" t="str">
        <f t="shared" si="33"/>
        <v/>
      </c>
      <c r="Y92" t="str">
        <f t="shared" si="34"/>
        <v/>
      </c>
    </row>
    <row r="93" spans="2:25" x14ac:dyDescent="0.25">
      <c r="C93" t="s">
        <v>177</v>
      </c>
      <c r="D93" s="1" t="s">
        <v>36</v>
      </c>
      <c r="F93">
        <v>13</v>
      </c>
      <c r="M93" t="str">
        <f t="shared" si="22"/>
        <v>[92]={[2]={["SPRING_FESTIVAL"]=13;};[1]=0x7002696A;}; --Spring-flinger Hooded Cloak</v>
      </c>
      <c r="N93" t="str">
        <f t="shared" si="23"/>
        <v>[92]={[1]="DIVIDER1"; [2]={["ENGLISH"] = ""; }; };</v>
      </c>
      <c r="O93" t="str">
        <f t="shared" si="24"/>
        <v>[92]={[1]="DIVIDER2"; [2]={["ENGLISH"] = ""; }; };</v>
      </c>
      <c r="P93" t="str">
        <f t="shared" si="25"/>
        <v/>
      </c>
      <c r="Q93" t="str">
        <f t="shared" si="26"/>
        <v>[1]=0x7002696A;</v>
      </c>
      <c r="R93" t="str">
        <f t="shared" si="27"/>
        <v/>
      </c>
      <c r="S93" t="str">
        <f t="shared" si="28"/>
        <v>[2]={["SPRING_FESTIVAL"]=13;};</v>
      </c>
      <c r="T93" t="str">
        <f t="shared" si="29"/>
        <v>["SPRING_FESTIVAL"]=13;</v>
      </c>
      <c r="U93" t="str">
        <f t="shared" si="30"/>
        <v/>
      </c>
      <c r="V93" t="str">
        <f t="shared" si="31"/>
        <v/>
      </c>
      <c r="W93" t="str">
        <f t="shared" si="32"/>
        <v/>
      </c>
      <c r="X93" t="str">
        <f t="shared" si="33"/>
        <v/>
      </c>
      <c r="Y93" t="str">
        <f t="shared" si="34"/>
        <v/>
      </c>
    </row>
    <row r="94" spans="2:25" x14ac:dyDescent="0.25">
      <c r="C94" t="s">
        <v>178</v>
      </c>
      <c r="D94" s="1" t="s">
        <v>37</v>
      </c>
      <c r="F94">
        <v>13</v>
      </c>
      <c r="M94" t="str">
        <f t="shared" si="22"/>
        <v>[93]={[2]={["SPRING_FESTIVAL"]=13;};[1]=0x70019481;}; --Spring-flinger Hat</v>
      </c>
      <c r="N94" t="str">
        <f t="shared" si="23"/>
        <v>[93]={[1]="DIVIDER1"; [2]={["ENGLISH"] = ""; }; };</v>
      </c>
      <c r="O94" t="str">
        <f t="shared" si="24"/>
        <v>[93]={[1]="DIVIDER2"; [2]={["ENGLISH"] = ""; }; };</v>
      </c>
      <c r="P94" t="str">
        <f t="shared" si="25"/>
        <v/>
      </c>
      <c r="Q94" t="str">
        <f t="shared" si="26"/>
        <v>[1]=0x70019481;</v>
      </c>
      <c r="R94" t="str">
        <f t="shared" si="27"/>
        <v/>
      </c>
      <c r="S94" t="str">
        <f t="shared" si="28"/>
        <v>[2]={["SPRING_FESTIVAL"]=13;};</v>
      </c>
      <c r="T94" t="str">
        <f t="shared" si="29"/>
        <v>["SPRING_FESTIVAL"]=13;</v>
      </c>
      <c r="U94" t="str">
        <f t="shared" si="30"/>
        <v/>
      </c>
      <c r="V94" t="str">
        <f t="shared" si="31"/>
        <v/>
      </c>
      <c r="W94" t="str">
        <f t="shared" si="32"/>
        <v/>
      </c>
      <c r="X94" t="str">
        <f t="shared" si="33"/>
        <v/>
      </c>
      <c r="Y94" t="str">
        <f t="shared" si="34"/>
        <v/>
      </c>
    </row>
    <row r="95" spans="2:25" x14ac:dyDescent="0.25">
      <c r="C95" t="s">
        <v>179</v>
      </c>
      <c r="D95" s="1" t="s">
        <v>38</v>
      </c>
      <c r="F95">
        <v>13</v>
      </c>
      <c r="M95" t="str">
        <f t="shared" si="22"/>
        <v>[94]={[2]={["SPRING_FESTIVAL"]=13;};[1]=0x70019D6E;}; --Short-sleeved Spring-flinger Hauberk</v>
      </c>
      <c r="N95" t="str">
        <f t="shared" si="23"/>
        <v>[94]={[1]="DIVIDER1"; [2]={["ENGLISH"] = ""; }; };</v>
      </c>
      <c r="O95" t="str">
        <f t="shared" si="24"/>
        <v>[94]={[1]="DIVIDER2"; [2]={["ENGLISH"] = ""; }; };</v>
      </c>
      <c r="P95" t="str">
        <f t="shared" si="25"/>
        <v/>
      </c>
      <c r="Q95" t="str">
        <f t="shared" si="26"/>
        <v>[1]=0x70019D6E;</v>
      </c>
      <c r="R95" t="str">
        <f t="shared" si="27"/>
        <v/>
      </c>
      <c r="S95" t="str">
        <f t="shared" si="28"/>
        <v>[2]={["SPRING_FESTIVAL"]=13;};</v>
      </c>
      <c r="T95" t="str">
        <f t="shared" si="29"/>
        <v>["SPRING_FESTIVAL"]=13;</v>
      </c>
      <c r="U95" t="str">
        <f t="shared" si="30"/>
        <v/>
      </c>
      <c r="V95" t="str">
        <f t="shared" si="31"/>
        <v/>
      </c>
      <c r="W95" t="str">
        <f t="shared" si="32"/>
        <v/>
      </c>
      <c r="X95" t="str">
        <f t="shared" si="33"/>
        <v/>
      </c>
      <c r="Y95" t="str">
        <f t="shared" si="34"/>
        <v/>
      </c>
    </row>
    <row r="96" spans="2:25" x14ac:dyDescent="0.25">
      <c r="C96" t="s">
        <v>180</v>
      </c>
      <c r="D96" s="1" t="s">
        <v>39</v>
      </c>
      <c r="F96">
        <v>13</v>
      </c>
      <c r="M96" t="str">
        <f t="shared" si="22"/>
        <v>[95]={[2]={["SPRING_FESTIVAL"]=13;};[1]=0x70019480;}; --Long-sleeved Spring-flinger Hauberk</v>
      </c>
      <c r="N96" t="str">
        <f t="shared" si="23"/>
        <v>[95]={[1]="DIVIDER1"; [2]={["ENGLISH"] = ""; }; };</v>
      </c>
      <c r="O96" t="str">
        <f t="shared" si="24"/>
        <v>[95]={[1]="DIVIDER2"; [2]={["ENGLISH"] = ""; }; };</v>
      </c>
      <c r="P96" t="str">
        <f t="shared" si="25"/>
        <v/>
      </c>
      <c r="Q96" t="str">
        <f t="shared" si="26"/>
        <v>[1]=0x70019480;</v>
      </c>
      <c r="R96" t="str">
        <f t="shared" si="27"/>
        <v/>
      </c>
      <c r="S96" t="str">
        <f t="shared" si="28"/>
        <v>[2]={["SPRING_FESTIVAL"]=13;};</v>
      </c>
      <c r="T96" t="str">
        <f t="shared" si="29"/>
        <v>["SPRING_FESTIVAL"]=13;</v>
      </c>
      <c r="U96" t="str">
        <f t="shared" si="30"/>
        <v/>
      </c>
      <c r="V96" t="str">
        <f t="shared" si="31"/>
        <v/>
      </c>
      <c r="W96" t="str">
        <f t="shared" si="32"/>
        <v/>
      </c>
      <c r="X96" t="str">
        <f t="shared" si="33"/>
        <v/>
      </c>
      <c r="Y96" t="str">
        <f t="shared" si="34"/>
        <v/>
      </c>
    </row>
    <row r="97" spans="2:25" x14ac:dyDescent="0.25">
      <c r="C97" t="s">
        <v>181</v>
      </c>
      <c r="D97" s="1" t="s">
        <v>26</v>
      </c>
      <c r="F97">
        <v>13</v>
      </c>
      <c r="M97" t="str">
        <f t="shared" si="22"/>
        <v>[96]={[2]={["SPRING_FESTIVAL"]=13;};[1]=0x7002E906;}; --Wide-brimmed Spring Hat</v>
      </c>
      <c r="N97" t="str">
        <f t="shared" si="23"/>
        <v>[96]={[1]="DIVIDER1"; [2]={["ENGLISH"] = ""; }; };</v>
      </c>
      <c r="O97" t="str">
        <f t="shared" si="24"/>
        <v>[96]={[1]="DIVIDER2"; [2]={["ENGLISH"] = ""; }; };</v>
      </c>
      <c r="P97" t="str">
        <f t="shared" si="25"/>
        <v/>
      </c>
      <c r="Q97" t="str">
        <f t="shared" si="26"/>
        <v>[1]=0x7002E906;</v>
      </c>
      <c r="R97" t="str">
        <f t="shared" si="27"/>
        <v/>
      </c>
      <c r="S97" t="str">
        <f t="shared" si="28"/>
        <v>[2]={["SPRING_FESTIVAL"]=13;};</v>
      </c>
      <c r="T97" t="str">
        <f t="shared" si="29"/>
        <v>["SPRING_FESTIVAL"]=13;</v>
      </c>
      <c r="U97" t="str">
        <f t="shared" si="30"/>
        <v/>
      </c>
      <c r="V97" t="str">
        <f t="shared" si="31"/>
        <v/>
      </c>
      <c r="W97" t="str">
        <f t="shared" si="32"/>
        <v/>
      </c>
      <c r="X97" t="str">
        <f t="shared" si="33"/>
        <v/>
      </c>
      <c r="Y97" t="str">
        <f t="shared" si="34"/>
        <v/>
      </c>
    </row>
    <row r="98" spans="2:25" x14ac:dyDescent="0.25">
      <c r="C98" t="s">
        <v>1</v>
      </c>
      <c r="D98" s="1" t="s">
        <v>27</v>
      </c>
      <c r="F98">
        <v>13</v>
      </c>
      <c r="M98" t="str">
        <f t="shared" si="22"/>
        <v>[97]={[2]={["SPRING_FESTIVAL"]=13;};[1]=0x7002E909;}; --Simbelmynë Circlet</v>
      </c>
      <c r="N98" t="str">
        <f t="shared" si="23"/>
        <v>[97]={[1]="DIVIDER1"; [2]={["ENGLISH"] = ""; }; };</v>
      </c>
      <c r="O98" t="str">
        <f t="shared" si="24"/>
        <v>[97]={[1]="DIVIDER2"; [2]={["ENGLISH"] = ""; }; };</v>
      </c>
      <c r="P98" t="str">
        <f t="shared" si="25"/>
        <v/>
      </c>
      <c r="Q98" t="str">
        <f t="shared" si="26"/>
        <v>[1]=0x7002E909;</v>
      </c>
      <c r="R98" t="str">
        <f t="shared" si="27"/>
        <v/>
      </c>
      <c r="S98" t="str">
        <f t="shared" si="28"/>
        <v>[2]={["SPRING_FESTIVAL"]=13;};</v>
      </c>
      <c r="T98" t="str">
        <f t="shared" si="29"/>
        <v>["SPRING_FESTIVAL"]=13;</v>
      </c>
      <c r="U98" t="str">
        <f t="shared" si="30"/>
        <v/>
      </c>
      <c r="V98" t="str">
        <f t="shared" si="31"/>
        <v/>
      </c>
      <c r="W98" t="str">
        <f t="shared" si="32"/>
        <v/>
      </c>
      <c r="X98" t="str">
        <f t="shared" si="33"/>
        <v/>
      </c>
      <c r="Y98" t="str">
        <f t="shared" si="34"/>
        <v/>
      </c>
    </row>
    <row r="99" spans="2:25" x14ac:dyDescent="0.25">
      <c r="C99" t="s">
        <v>2</v>
      </c>
      <c r="D99" s="1" t="s">
        <v>28</v>
      </c>
      <c r="F99">
        <v>13</v>
      </c>
      <c r="M99" t="str">
        <f t="shared" si="22"/>
        <v>[98]={[2]={["SPRING_FESTIVAL"]=13;};[1]=0x7002E908;}; --Simbelmynë Cloak</v>
      </c>
      <c r="N99" t="str">
        <f t="shared" si="23"/>
        <v>[98]={[1]="DIVIDER1"; [2]={["ENGLISH"] = ""; }; };</v>
      </c>
      <c r="O99" t="str">
        <f t="shared" si="24"/>
        <v>[98]={[1]="DIVIDER2"; [2]={["ENGLISH"] = ""; }; };</v>
      </c>
      <c r="P99" t="str">
        <f t="shared" si="25"/>
        <v/>
      </c>
      <c r="Q99" t="str">
        <f t="shared" si="26"/>
        <v>[1]=0x7002E908;</v>
      </c>
      <c r="R99" t="str">
        <f t="shared" si="27"/>
        <v/>
      </c>
      <c r="S99" t="str">
        <f t="shared" si="28"/>
        <v>[2]={["SPRING_FESTIVAL"]=13;};</v>
      </c>
      <c r="T99" t="str">
        <f t="shared" si="29"/>
        <v>["SPRING_FESTIVAL"]=13;</v>
      </c>
      <c r="U99" t="str">
        <f t="shared" si="30"/>
        <v/>
      </c>
      <c r="V99" t="str">
        <f t="shared" si="31"/>
        <v/>
      </c>
      <c r="W99" t="str">
        <f t="shared" si="32"/>
        <v/>
      </c>
      <c r="X99" t="str">
        <f t="shared" si="33"/>
        <v/>
      </c>
      <c r="Y99" t="str">
        <f t="shared" si="34"/>
        <v/>
      </c>
    </row>
    <row r="100" spans="2:25" x14ac:dyDescent="0.25">
      <c r="C100" t="s">
        <v>189</v>
      </c>
      <c r="D100" s="1" t="s">
        <v>29</v>
      </c>
      <c r="F100">
        <v>13</v>
      </c>
      <c r="M100" t="str">
        <f t="shared" si="22"/>
        <v>[99]={[2]={["SPRING_FESTIVAL"]=13;};[1]=0x7002E905;}; --Simbelmynë Tunic &amp; Trousers</v>
      </c>
      <c r="N100" t="str">
        <f t="shared" si="23"/>
        <v>[99]={[1]="DIVIDER1"; [2]={["ENGLISH"] = ""; }; };</v>
      </c>
      <c r="O100" t="str">
        <f t="shared" si="24"/>
        <v>[99]={[1]="DIVIDER2"; [2]={["ENGLISH"] = ""; }; };</v>
      </c>
      <c r="P100" t="str">
        <f t="shared" si="25"/>
        <v/>
      </c>
      <c r="Q100" t="str">
        <f t="shared" si="26"/>
        <v>[1]=0x7002E905;</v>
      </c>
      <c r="R100" t="str">
        <f t="shared" si="27"/>
        <v/>
      </c>
      <c r="S100" t="str">
        <f t="shared" si="28"/>
        <v>[2]={["SPRING_FESTIVAL"]=13;};</v>
      </c>
      <c r="T100" t="str">
        <f t="shared" si="29"/>
        <v>["SPRING_FESTIVAL"]=13;</v>
      </c>
      <c r="U100" t="str">
        <f t="shared" si="30"/>
        <v/>
      </c>
      <c r="V100" t="str">
        <f t="shared" si="31"/>
        <v/>
      </c>
      <c r="W100" t="str">
        <f t="shared" si="32"/>
        <v/>
      </c>
      <c r="X100" t="str">
        <f t="shared" si="33"/>
        <v/>
      </c>
      <c r="Y100" t="str">
        <f t="shared" si="34"/>
        <v/>
      </c>
    </row>
    <row r="101" spans="2:25" x14ac:dyDescent="0.25">
      <c r="C101" t="s">
        <v>3</v>
      </c>
      <c r="D101" s="1" t="s">
        <v>30</v>
      </c>
      <c r="F101">
        <v>13</v>
      </c>
      <c r="M101" t="str">
        <f t="shared" si="22"/>
        <v>[100]={[2]={["SPRING_FESTIVAL"]=13;};[1]=0x7002E907;}; --Simbelmynë Dress</v>
      </c>
      <c r="N101" t="str">
        <f t="shared" si="23"/>
        <v>[100]={[1]="DIVIDER1"; [2]={["ENGLISH"] = ""; }; };</v>
      </c>
      <c r="O101" t="str">
        <f t="shared" si="24"/>
        <v>[100]={[1]="DIVIDER2"; [2]={["ENGLISH"] = ""; }; };</v>
      </c>
      <c r="P101" t="str">
        <f t="shared" si="25"/>
        <v/>
      </c>
      <c r="Q101" t="str">
        <f t="shared" si="26"/>
        <v>[1]=0x7002E907;</v>
      </c>
      <c r="R101" t="str">
        <f t="shared" si="27"/>
        <v/>
      </c>
      <c r="S101" t="str">
        <f t="shared" si="28"/>
        <v>[2]={["SPRING_FESTIVAL"]=13;};</v>
      </c>
      <c r="T101" t="str">
        <f t="shared" si="29"/>
        <v>["SPRING_FESTIVAL"]=13;</v>
      </c>
      <c r="U101" t="str">
        <f t="shared" si="30"/>
        <v/>
      </c>
      <c r="V101" t="str">
        <f t="shared" si="31"/>
        <v/>
      </c>
      <c r="W101" t="str">
        <f t="shared" si="32"/>
        <v/>
      </c>
      <c r="X101" t="str">
        <f t="shared" si="33"/>
        <v/>
      </c>
      <c r="Y101" t="str">
        <f t="shared" si="34"/>
        <v/>
      </c>
    </row>
    <row r="102" spans="2:25" x14ac:dyDescent="0.25">
      <c r="C102" t="s">
        <v>182</v>
      </c>
      <c r="D102" s="1" t="s">
        <v>190</v>
      </c>
      <c r="F102">
        <v>13</v>
      </c>
      <c r="M102" t="str">
        <f t="shared" si="22"/>
        <v>[101]={[2]={["SPRING_FESTIVAL"]=13;};[1]=0x7004363D;}; --Hooded Cloak of New Bloom</v>
      </c>
      <c r="N102" t="str">
        <f t="shared" si="23"/>
        <v>[101]={[1]="DIVIDER1"; [2]={["ENGLISH"] = ""; }; };</v>
      </c>
      <c r="O102" t="str">
        <f t="shared" si="24"/>
        <v>[101]={[1]="DIVIDER2"; [2]={["ENGLISH"] = ""; }; };</v>
      </c>
      <c r="P102" t="str">
        <f t="shared" si="25"/>
        <v/>
      </c>
      <c r="Q102" t="str">
        <f t="shared" si="26"/>
        <v>[1]=0x7004363D;</v>
      </c>
      <c r="R102" t="str">
        <f t="shared" si="27"/>
        <v/>
      </c>
      <c r="S102" t="str">
        <f t="shared" si="28"/>
        <v>[2]={["SPRING_FESTIVAL"]=13;};</v>
      </c>
      <c r="T102" t="str">
        <f t="shared" si="29"/>
        <v>["SPRING_FESTIVAL"]=13;</v>
      </c>
      <c r="U102" t="str">
        <f t="shared" si="30"/>
        <v/>
      </c>
      <c r="V102" t="str">
        <f t="shared" si="31"/>
        <v/>
      </c>
      <c r="W102" t="str">
        <f t="shared" si="32"/>
        <v/>
      </c>
      <c r="X102" t="str">
        <f t="shared" si="33"/>
        <v/>
      </c>
      <c r="Y102" t="str">
        <f t="shared" si="34"/>
        <v/>
      </c>
    </row>
    <row r="103" spans="2:25" x14ac:dyDescent="0.25">
      <c r="C103" t="s">
        <v>183</v>
      </c>
      <c r="D103" s="1" t="s">
        <v>191</v>
      </c>
      <c r="F103">
        <v>13</v>
      </c>
      <c r="M103" t="str">
        <f t="shared" si="22"/>
        <v>[102]={[2]={["SPRING_FESTIVAL"]=13;};[1]=0x70043640;}; --Tunic and Trousers of New Bloom</v>
      </c>
      <c r="N103" t="str">
        <f t="shared" si="23"/>
        <v>[102]={[1]="DIVIDER1"; [2]={["ENGLISH"] = ""; }; };</v>
      </c>
      <c r="O103" t="str">
        <f t="shared" si="24"/>
        <v>[102]={[1]="DIVIDER2"; [2]={["ENGLISH"] = ""; }; };</v>
      </c>
      <c r="P103" t="str">
        <f t="shared" si="25"/>
        <v/>
      </c>
      <c r="Q103" t="str">
        <f t="shared" si="26"/>
        <v>[1]=0x70043640;</v>
      </c>
      <c r="R103" t="str">
        <f t="shared" si="27"/>
        <v/>
      </c>
      <c r="S103" t="str">
        <f t="shared" si="28"/>
        <v>[2]={["SPRING_FESTIVAL"]=13;};</v>
      </c>
      <c r="T103" t="str">
        <f t="shared" si="29"/>
        <v>["SPRING_FESTIVAL"]=13;</v>
      </c>
      <c r="U103" t="str">
        <f t="shared" si="30"/>
        <v/>
      </c>
      <c r="V103" t="str">
        <f t="shared" si="31"/>
        <v/>
      </c>
      <c r="W103" t="str">
        <f t="shared" si="32"/>
        <v/>
      </c>
      <c r="X103" t="str">
        <f t="shared" si="33"/>
        <v/>
      </c>
      <c r="Y103" t="str">
        <f t="shared" si="34"/>
        <v/>
      </c>
    </row>
    <row r="104" spans="2:25" x14ac:dyDescent="0.25">
      <c r="C104" t="s">
        <v>184</v>
      </c>
      <c r="D104" s="1" t="s">
        <v>22</v>
      </c>
      <c r="F104">
        <v>13</v>
      </c>
      <c r="M104" t="str">
        <f t="shared" si="22"/>
        <v>[103]={[2]={["SPRING_FESTIVAL"]=13;};[1]=0x7003660B;}; --Lissuin Cloak</v>
      </c>
      <c r="N104" t="str">
        <f t="shared" si="23"/>
        <v>[103]={[1]="DIVIDER1"; [2]={["ENGLISH"] = ""; }; };</v>
      </c>
      <c r="O104" t="str">
        <f t="shared" si="24"/>
        <v>[103]={[1]="DIVIDER2"; [2]={["ENGLISH"] = ""; }; };</v>
      </c>
      <c r="P104" t="str">
        <f t="shared" si="25"/>
        <v/>
      </c>
      <c r="Q104" t="str">
        <f t="shared" si="26"/>
        <v>[1]=0x7003660B;</v>
      </c>
      <c r="R104" t="str">
        <f t="shared" si="27"/>
        <v/>
      </c>
      <c r="S104" t="str">
        <f t="shared" si="28"/>
        <v>[2]={["SPRING_FESTIVAL"]=13;};</v>
      </c>
      <c r="T104" t="str">
        <f t="shared" si="29"/>
        <v>["SPRING_FESTIVAL"]=13;</v>
      </c>
      <c r="U104" t="str">
        <f t="shared" si="30"/>
        <v/>
      </c>
      <c r="V104" t="str">
        <f t="shared" si="31"/>
        <v/>
      </c>
      <c r="W104" t="str">
        <f t="shared" si="32"/>
        <v/>
      </c>
      <c r="X104" t="str">
        <f t="shared" si="33"/>
        <v/>
      </c>
      <c r="Y104" t="str">
        <f t="shared" si="34"/>
        <v/>
      </c>
    </row>
    <row r="105" spans="2:25" x14ac:dyDescent="0.25">
      <c r="C105" t="s">
        <v>185</v>
      </c>
      <c r="D105" s="1" t="s">
        <v>23</v>
      </c>
      <c r="F105">
        <v>13</v>
      </c>
      <c r="M105" t="str">
        <f t="shared" si="22"/>
        <v>[104]={[2]={["SPRING_FESTIVAL"]=13;};[1]=0x7003660C;}; --Lissuin Hooded Cloak</v>
      </c>
      <c r="N105" t="str">
        <f t="shared" si="23"/>
        <v>[104]={[1]="DIVIDER1"; [2]={["ENGLISH"] = ""; }; };</v>
      </c>
      <c r="O105" t="str">
        <f t="shared" si="24"/>
        <v>[104]={[1]="DIVIDER2"; [2]={["ENGLISH"] = ""; }; };</v>
      </c>
      <c r="P105" t="str">
        <f t="shared" si="25"/>
        <v/>
      </c>
      <c r="Q105" t="str">
        <f t="shared" si="26"/>
        <v>[1]=0x7003660C;</v>
      </c>
      <c r="R105" t="str">
        <f t="shared" si="27"/>
        <v/>
      </c>
      <c r="S105" t="str">
        <f t="shared" si="28"/>
        <v>[2]={["SPRING_FESTIVAL"]=13;};</v>
      </c>
      <c r="T105" t="str">
        <f t="shared" si="29"/>
        <v>["SPRING_FESTIVAL"]=13;</v>
      </c>
      <c r="U105" t="str">
        <f t="shared" si="30"/>
        <v/>
      </c>
      <c r="V105" t="str">
        <f t="shared" si="31"/>
        <v/>
      </c>
      <c r="W105" t="str">
        <f t="shared" si="32"/>
        <v/>
      </c>
      <c r="X105" t="str">
        <f t="shared" si="33"/>
        <v/>
      </c>
      <c r="Y105" t="str">
        <f t="shared" si="34"/>
        <v/>
      </c>
    </row>
    <row r="106" spans="2:25" x14ac:dyDescent="0.25">
      <c r="C106" t="s">
        <v>186</v>
      </c>
      <c r="D106" s="1" t="s">
        <v>24</v>
      </c>
      <c r="F106">
        <v>13</v>
      </c>
      <c r="M106" t="str">
        <f t="shared" si="22"/>
        <v>[105]={[2]={["SPRING_FESTIVAL"]=13;};[1]=0x7003660D;}; --Lissuin Robe</v>
      </c>
      <c r="N106" t="str">
        <f t="shared" si="23"/>
        <v>[105]={[1]="DIVIDER1"; [2]={["ENGLISH"] = ""; }; };</v>
      </c>
      <c r="O106" t="str">
        <f t="shared" si="24"/>
        <v>[105]={[1]="DIVIDER2"; [2]={["ENGLISH"] = ""; }; };</v>
      </c>
      <c r="P106" t="str">
        <f t="shared" si="25"/>
        <v/>
      </c>
      <c r="Q106" t="str">
        <f t="shared" si="26"/>
        <v>[1]=0x7003660D;</v>
      </c>
      <c r="R106" t="str">
        <f t="shared" si="27"/>
        <v/>
      </c>
      <c r="S106" t="str">
        <f t="shared" si="28"/>
        <v>[2]={["SPRING_FESTIVAL"]=13;};</v>
      </c>
      <c r="T106" t="str">
        <f t="shared" si="29"/>
        <v>["SPRING_FESTIVAL"]=13;</v>
      </c>
      <c r="U106" t="str">
        <f t="shared" si="30"/>
        <v/>
      </c>
      <c r="V106" t="str">
        <f t="shared" si="31"/>
        <v/>
      </c>
      <c r="W106" t="str">
        <f t="shared" si="32"/>
        <v/>
      </c>
      <c r="X106" t="str">
        <f t="shared" si="33"/>
        <v/>
      </c>
      <c r="Y106" t="str">
        <f t="shared" si="34"/>
        <v/>
      </c>
    </row>
    <row r="107" spans="2:25" x14ac:dyDescent="0.25">
      <c r="C107" t="s">
        <v>187</v>
      </c>
      <c r="D107" s="1" t="s">
        <v>25</v>
      </c>
      <c r="F107">
        <v>13</v>
      </c>
      <c r="M107" t="str">
        <f t="shared" si="22"/>
        <v>[106]={[2]={["SPRING_FESTIVAL"]=13;};[1]=0x7003660E;}; --Lissuin Dress</v>
      </c>
      <c r="N107" t="str">
        <f t="shared" si="23"/>
        <v>[106]={[1]="DIVIDER1"; [2]={["ENGLISH"] = ""; }; };</v>
      </c>
      <c r="O107" t="str">
        <f t="shared" si="24"/>
        <v>[106]={[1]="DIVIDER2"; [2]={["ENGLISH"] = ""; }; };</v>
      </c>
      <c r="P107" t="str">
        <f t="shared" si="25"/>
        <v/>
      </c>
      <c r="Q107" t="str">
        <f t="shared" si="26"/>
        <v>[1]=0x7003660E;</v>
      </c>
      <c r="R107" t="str">
        <f t="shared" si="27"/>
        <v/>
      </c>
      <c r="S107" t="str">
        <f t="shared" si="28"/>
        <v>[2]={["SPRING_FESTIVAL"]=13;};</v>
      </c>
      <c r="T107" t="str">
        <f t="shared" si="29"/>
        <v>["SPRING_FESTIVAL"]=13;</v>
      </c>
      <c r="U107" t="str">
        <f t="shared" si="30"/>
        <v/>
      </c>
      <c r="V107" t="str">
        <f t="shared" si="31"/>
        <v/>
      </c>
      <c r="W107" t="str">
        <f t="shared" si="32"/>
        <v/>
      </c>
      <c r="X107" t="str">
        <f t="shared" si="33"/>
        <v/>
      </c>
      <c r="Y107" t="str">
        <f t="shared" si="34"/>
        <v/>
      </c>
    </row>
    <row r="108" spans="2:25" x14ac:dyDescent="0.25">
      <c r="B108" t="s">
        <v>459</v>
      </c>
      <c r="M108" t="str">
        <f t="shared" si="22"/>
        <v>[107]={[1]="DIVIDER2"; [2]={["ENGLISH"] = "Housing Items 1"; }; };</v>
      </c>
      <c r="N108" t="str">
        <f t="shared" si="23"/>
        <v>[107]={[1]="DIVIDER1"; [2]={["ENGLISH"] = ""; }; };</v>
      </c>
      <c r="O108" t="str">
        <f t="shared" si="24"/>
        <v>[107]={[1]="DIVIDER2"; [2]={["ENGLISH"] = "Housing Items 1"; }; };</v>
      </c>
      <c r="P108" t="str">
        <f t="shared" si="25"/>
        <v/>
      </c>
      <c r="Q108" t="str">
        <f t="shared" si="26"/>
        <v>[1]=;</v>
      </c>
      <c r="R108" t="str">
        <f t="shared" si="27"/>
        <v/>
      </c>
      <c r="S108" t="str">
        <f t="shared" si="28"/>
        <v>[2]={};</v>
      </c>
      <c r="T108" t="str">
        <f t="shared" si="29"/>
        <v/>
      </c>
      <c r="U108" t="str">
        <f t="shared" si="30"/>
        <v/>
      </c>
      <c r="V108" t="str">
        <f t="shared" si="31"/>
        <v/>
      </c>
      <c r="W108" t="str">
        <f t="shared" si="32"/>
        <v/>
      </c>
      <c r="X108" t="str">
        <f t="shared" si="33"/>
        <v/>
      </c>
      <c r="Y108" t="str">
        <f t="shared" si="34"/>
        <v/>
      </c>
    </row>
    <row r="109" spans="2:25" x14ac:dyDescent="0.25">
      <c r="C109" t="s">
        <v>479</v>
      </c>
      <c r="D109" s="1" t="s">
        <v>460</v>
      </c>
      <c r="F109">
        <v>5</v>
      </c>
      <c r="M109" t="str">
        <f t="shared" si="22"/>
        <v>[108]={[2]={["SPRING_FESTIVAL"]=5;};[1]=0x700743B3;}; --'Spring in Clegur' Theme</v>
      </c>
      <c r="N109" t="str">
        <f t="shared" si="23"/>
        <v>[108]={[1]="DIVIDER1"; [2]={["ENGLISH"] = ""; }; };</v>
      </c>
      <c r="O109" t="str">
        <f t="shared" si="24"/>
        <v>[108]={[1]="DIVIDER2"; [2]={["ENGLISH"] = ""; }; };</v>
      </c>
      <c r="P109" t="str">
        <f t="shared" si="25"/>
        <v/>
      </c>
      <c r="Q109" t="str">
        <f t="shared" si="26"/>
        <v>[1]=0x700743B3;</v>
      </c>
      <c r="R109" t="str">
        <f t="shared" si="27"/>
        <v/>
      </c>
      <c r="S109" t="str">
        <f t="shared" si="28"/>
        <v>[2]={["SPRING_FESTIVAL"]=5;};</v>
      </c>
      <c r="T109" t="str">
        <f t="shared" si="29"/>
        <v>["SPRING_FESTIVAL"]=5;</v>
      </c>
      <c r="U109" t="str">
        <f t="shared" si="30"/>
        <v/>
      </c>
      <c r="V109" t="str">
        <f t="shared" si="31"/>
        <v/>
      </c>
      <c r="W109" t="str">
        <f t="shared" si="32"/>
        <v/>
      </c>
      <c r="X109" t="str">
        <f t="shared" si="33"/>
        <v/>
      </c>
      <c r="Y109" t="str">
        <f t="shared" si="34"/>
        <v/>
      </c>
    </row>
    <row r="110" spans="2:25" x14ac:dyDescent="0.25">
      <c r="C110" t="s">
        <v>480</v>
      </c>
      <c r="D110" s="1" t="s">
        <v>461</v>
      </c>
      <c r="F110">
        <v>10</v>
      </c>
      <c r="M110" t="str">
        <f t="shared" si="22"/>
        <v>[109]={[2]={["SPRING_FESTIVAL"]=10;};[1]=0x70074448;}; --Small Daffodil Celebration Banner</v>
      </c>
      <c r="N110" t="str">
        <f t="shared" si="23"/>
        <v>[109]={[1]="DIVIDER1"; [2]={["ENGLISH"] = ""; }; };</v>
      </c>
      <c r="O110" t="str">
        <f t="shared" si="24"/>
        <v>[109]={[1]="DIVIDER2"; [2]={["ENGLISH"] = ""; }; };</v>
      </c>
      <c r="P110" t="str">
        <f t="shared" si="25"/>
        <v/>
      </c>
      <c r="Q110" t="str">
        <f t="shared" si="26"/>
        <v>[1]=0x70074448;</v>
      </c>
      <c r="R110" t="str">
        <f t="shared" si="27"/>
        <v/>
      </c>
      <c r="S110" t="str">
        <f t="shared" si="28"/>
        <v>[2]={["SPRING_FESTIVAL"]=10;};</v>
      </c>
      <c r="T110" t="str">
        <f t="shared" si="29"/>
        <v>["SPRING_FESTIVAL"]=10;</v>
      </c>
      <c r="U110" t="str">
        <f t="shared" si="30"/>
        <v/>
      </c>
      <c r="V110" t="str">
        <f t="shared" si="31"/>
        <v/>
      </c>
      <c r="W110" t="str">
        <f t="shared" si="32"/>
        <v/>
      </c>
      <c r="X110" t="str">
        <f t="shared" si="33"/>
        <v/>
      </c>
      <c r="Y110" t="str">
        <f t="shared" si="34"/>
        <v/>
      </c>
    </row>
    <row r="111" spans="2:25" x14ac:dyDescent="0.25">
      <c r="C111" t="s">
        <v>481</v>
      </c>
      <c r="D111" s="1" t="s">
        <v>462</v>
      </c>
      <c r="F111">
        <v>10</v>
      </c>
      <c r="M111" t="str">
        <f t="shared" si="22"/>
        <v>[110]={[2]={["SPRING_FESTIVAL"]=10;};[1]=0x70074449;}; --Daffodil Planter</v>
      </c>
      <c r="N111" t="str">
        <f t="shared" si="23"/>
        <v>[110]={[1]="DIVIDER1"; [2]={["ENGLISH"] = ""; }; };</v>
      </c>
      <c r="O111" t="str">
        <f t="shared" si="24"/>
        <v>[110]={[1]="DIVIDER2"; [2]={["ENGLISH"] = ""; }; };</v>
      </c>
      <c r="P111" t="str">
        <f t="shared" si="25"/>
        <v/>
      </c>
      <c r="Q111" t="str">
        <f t="shared" si="26"/>
        <v>[1]=0x70074449;</v>
      </c>
      <c r="R111" t="str">
        <f t="shared" si="27"/>
        <v/>
      </c>
      <c r="S111" t="str">
        <f t="shared" si="28"/>
        <v>[2]={["SPRING_FESTIVAL"]=10;};</v>
      </c>
      <c r="T111" t="str">
        <f t="shared" si="29"/>
        <v>["SPRING_FESTIVAL"]=10;</v>
      </c>
      <c r="U111" t="str">
        <f t="shared" si="30"/>
        <v/>
      </c>
      <c r="V111" t="str">
        <f t="shared" si="31"/>
        <v/>
      </c>
      <c r="W111" t="str">
        <f t="shared" si="32"/>
        <v/>
      </c>
      <c r="X111" t="str">
        <f t="shared" si="33"/>
        <v/>
      </c>
      <c r="Y111" t="str">
        <f t="shared" si="34"/>
        <v/>
      </c>
    </row>
    <row r="112" spans="2:25" x14ac:dyDescent="0.25">
      <c r="C112" t="s">
        <v>482</v>
      </c>
      <c r="D112" s="1" t="s">
        <v>463</v>
      </c>
      <c r="F112">
        <v>8</v>
      </c>
      <c r="M112" t="str">
        <f t="shared" si="22"/>
        <v>[111]={[2]={["SPRING_FESTIVAL"]=8;};[1]=0x7007444A;}; --Small Bulb Planter</v>
      </c>
      <c r="N112" t="str">
        <f t="shared" si="23"/>
        <v>[111]={[1]="DIVIDER1"; [2]={["ENGLISH"] = ""; }; };</v>
      </c>
      <c r="O112" t="str">
        <f t="shared" si="24"/>
        <v>[111]={[1]="DIVIDER2"; [2]={["ENGLISH"] = ""; }; };</v>
      </c>
      <c r="P112" t="str">
        <f t="shared" si="25"/>
        <v/>
      </c>
      <c r="Q112" t="str">
        <f t="shared" si="26"/>
        <v>[1]=0x7007444A;</v>
      </c>
      <c r="R112" t="str">
        <f t="shared" si="27"/>
        <v/>
      </c>
      <c r="S112" t="str">
        <f t="shared" si="28"/>
        <v>[2]={["SPRING_FESTIVAL"]=8;};</v>
      </c>
      <c r="T112" t="str">
        <f t="shared" si="29"/>
        <v>["SPRING_FESTIVAL"]=8;</v>
      </c>
      <c r="U112" t="str">
        <f t="shared" si="30"/>
        <v/>
      </c>
      <c r="V112" t="str">
        <f t="shared" si="31"/>
        <v/>
      </c>
      <c r="W112" t="str">
        <f t="shared" si="32"/>
        <v/>
      </c>
      <c r="X112" t="str">
        <f t="shared" si="33"/>
        <v/>
      </c>
      <c r="Y112" t="str">
        <f t="shared" si="34"/>
        <v/>
      </c>
    </row>
    <row r="113" spans="3:25" x14ac:dyDescent="0.25">
      <c r="C113" t="s">
        <v>483</v>
      </c>
      <c r="D113" s="1" t="s">
        <v>464</v>
      </c>
      <c r="F113">
        <v>5</v>
      </c>
      <c r="M113" t="str">
        <f t="shared" si="22"/>
        <v>[112]={[2]={["SPRING_FESTIVAL"]=5;};[1]=0x7007444B;}; --Empty Daffodil Planter</v>
      </c>
      <c r="N113" t="str">
        <f t="shared" si="23"/>
        <v>[112]={[1]="DIVIDER1"; [2]={["ENGLISH"] = ""; }; };</v>
      </c>
      <c r="O113" t="str">
        <f t="shared" si="24"/>
        <v>[112]={[1]="DIVIDER2"; [2]={["ENGLISH"] = ""; }; };</v>
      </c>
      <c r="P113" t="str">
        <f t="shared" si="25"/>
        <v/>
      </c>
      <c r="Q113" t="str">
        <f t="shared" si="26"/>
        <v>[1]=0x7007444B;</v>
      </c>
      <c r="R113" t="str">
        <f t="shared" si="27"/>
        <v/>
      </c>
      <c r="S113" t="str">
        <f t="shared" si="28"/>
        <v>[2]={["SPRING_FESTIVAL"]=5;};</v>
      </c>
      <c r="T113" t="str">
        <f t="shared" si="29"/>
        <v>["SPRING_FESTIVAL"]=5;</v>
      </c>
      <c r="U113" t="str">
        <f t="shared" si="30"/>
        <v/>
      </c>
      <c r="V113" t="str">
        <f t="shared" si="31"/>
        <v/>
      </c>
      <c r="W113" t="str">
        <f t="shared" si="32"/>
        <v/>
      </c>
      <c r="X113" t="str">
        <f t="shared" si="33"/>
        <v/>
      </c>
      <c r="Y113" t="str">
        <f t="shared" si="34"/>
        <v/>
      </c>
    </row>
    <row r="114" spans="3:25" x14ac:dyDescent="0.25">
      <c r="C114" t="s">
        <v>484</v>
      </c>
      <c r="D114" s="1" t="s">
        <v>465</v>
      </c>
      <c r="F114">
        <v>5</v>
      </c>
      <c r="M114" t="str">
        <f t="shared" si="22"/>
        <v>[113]={[2]={["SPRING_FESTIVAL"]=5;};[1]=0x70074446;}; --Daffodil Plant</v>
      </c>
      <c r="N114" t="str">
        <f t="shared" si="23"/>
        <v>[113]={[1]="DIVIDER1"; [2]={["ENGLISH"] = ""; }; };</v>
      </c>
      <c r="O114" t="str">
        <f t="shared" si="24"/>
        <v>[113]={[1]="DIVIDER2"; [2]={["ENGLISH"] = ""; }; };</v>
      </c>
      <c r="P114" t="str">
        <f t="shared" si="25"/>
        <v/>
      </c>
      <c r="Q114" t="str">
        <f t="shared" si="26"/>
        <v>[1]=0x70074446;</v>
      </c>
      <c r="R114" t="str">
        <f t="shared" si="27"/>
        <v/>
      </c>
      <c r="S114" t="str">
        <f t="shared" si="28"/>
        <v>[2]={["SPRING_FESTIVAL"]=5;};</v>
      </c>
      <c r="T114" t="str">
        <f t="shared" si="29"/>
        <v>["SPRING_FESTIVAL"]=5;</v>
      </c>
      <c r="U114" t="str">
        <f t="shared" si="30"/>
        <v/>
      </c>
      <c r="V114" t="str">
        <f t="shared" si="31"/>
        <v/>
      </c>
      <c r="W114" t="str">
        <f t="shared" si="32"/>
        <v/>
      </c>
      <c r="X114" t="str">
        <f t="shared" si="33"/>
        <v/>
      </c>
      <c r="Y114" t="str">
        <f t="shared" si="34"/>
        <v/>
      </c>
    </row>
    <row r="115" spans="3:25" x14ac:dyDescent="0.25">
      <c r="C115" t="s">
        <v>485</v>
      </c>
      <c r="D115" s="1" t="s">
        <v>466</v>
      </c>
      <c r="F115">
        <v>13</v>
      </c>
      <c r="M115" t="str">
        <f t="shared" si="22"/>
        <v>[114]={[2]={["SPRING_FESTIVAL"]=13;};[1]=0x70074447;}; --Cluster of Daffodils</v>
      </c>
      <c r="N115" t="str">
        <f t="shared" si="23"/>
        <v>[114]={[1]="DIVIDER1"; [2]={["ENGLISH"] = ""; }; };</v>
      </c>
      <c r="O115" t="str">
        <f t="shared" si="24"/>
        <v>[114]={[1]="DIVIDER2"; [2]={["ENGLISH"] = ""; }; };</v>
      </c>
      <c r="P115" t="str">
        <f t="shared" si="25"/>
        <v/>
      </c>
      <c r="Q115" t="str">
        <f t="shared" si="26"/>
        <v>[1]=0x70074447;</v>
      </c>
      <c r="R115" t="str">
        <f t="shared" si="27"/>
        <v/>
      </c>
      <c r="S115" t="str">
        <f t="shared" si="28"/>
        <v>[2]={["SPRING_FESTIVAL"]=13;};</v>
      </c>
      <c r="T115" t="str">
        <f t="shared" si="29"/>
        <v>["SPRING_FESTIVAL"]=13;</v>
      </c>
      <c r="U115" t="str">
        <f t="shared" si="30"/>
        <v/>
      </c>
      <c r="V115" t="str">
        <f t="shared" si="31"/>
        <v/>
      </c>
      <c r="W115" t="str">
        <f t="shared" si="32"/>
        <v/>
      </c>
      <c r="X115" t="str">
        <f t="shared" si="33"/>
        <v/>
      </c>
      <c r="Y115" t="str">
        <f t="shared" si="34"/>
        <v/>
      </c>
    </row>
    <row r="116" spans="3:25" x14ac:dyDescent="0.25">
      <c r="C116" t="s">
        <v>486</v>
      </c>
      <c r="D116" s="1" t="s">
        <v>467</v>
      </c>
      <c r="F116">
        <v>13</v>
      </c>
      <c r="M116" t="str">
        <f t="shared" si="22"/>
        <v>[115]={[2]={["SPRING_FESTIVAL"]=13;};[1]=0x70063EBC;}; --Pristine Ringforge Wall</v>
      </c>
      <c r="N116" t="str">
        <f t="shared" si="23"/>
        <v>[115]={[1]="DIVIDER1"; [2]={["ENGLISH"] = ""; }; };</v>
      </c>
      <c r="O116" t="str">
        <f t="shared" si="24"/>
        <v>[115]={[1]="DIVIDER2"; [2]={["ENGLISH"] = ""; }; };</v>
      </c>
      <c r="P116" t="str">
        <f t="shared" si="25"/>
        <v/>
      </c>
      <c r="Q116" t="str">
        <f t="shared" si="26"/>
        <v>[1]=0x70063EBC;</v>
      </c>
      <c r="R116" t="str">
        <f t="shared" si="27"/>
        <v/>
      </c>
      <c r="S116" t="str">
        <f t="shared" si="28"/>
        <v>[2]={["SPRING_FESTIVAL"]=13;};</v>
      </c>
      <c r="T116" t="str">
        <f t="shared" si="29"/>
        <v>["SPRING_FESTIVAL"]=13;</v>
      </c>
      <c r="U116" t="str">
        <f t="shared" si="30"/>
        <v/>
      </c>
      <c r="V116" t="str">
        <f t="shared" si="31"/>
        <v/>
      </c>
      <c r="W116" t="str">
        <f t="shared" si="32"/>
        <v/>
      </c>
      <c r="X116" t="str">
        <f t="shared" si="33"/>
        <v/>
      </c>
      <c r="Y116" t="str">
        <f t="shared" si="34"/>
        <v/>
      </c>
    </row>
    <row r="117" spans="3:25" x14ac:dyDescent="0.25">
      <c r="C117" t="s">
        <v>487</v>
      </c>
      <c r="D117" s="1" t="s">
        <v>468</v>
      </c>
      <c r="F117">
        <v>8</v>
      </c>
      <c r="M117" t="str">
        <f t="shared" si="22"/>
        <v>[116]={[2]={["SPRING_FESTIVAL"]=8;};[1]=0x70063EC6;}; --Decorative Wall - 10M (Pristine Ringforge)</v>
      </c>
      <c r="N117" t="str">
        <f t="shared" si="23"/>
        <v>[116]={[1]="DIVIDER1"; [2]={["ENGLISH"] = ""; }; };</v>
      </c>
      <c r="O117" t="str">
        <f t="shared" si="24"/>
        <v>[116]={[1]="DIVIDER2"; [2]={["ENGLISH"] = ""; }; };</v>
      </c>
      <c r="P117" t="str">
        <f t="shared" si="25"/>
        <v/>
      </c>
      <c r="Q117" t="str">
        <f t="shared" si="26"/>
        <v>[1]=0x70063EC6;</v>
      </c>
      <c r="R117" t="str">
        <f t="shared" si="27"/>
        <v/>
      </c>
      <c r="S117" t="str">
        <f t="shared" si="28"/>
        <v>[2]={["SPRING_FESTIVAL"]=8;};</v>
      </c>
      <c r="T117" t="str">
        <f t="shared" si="29"/>
        <v>["SPRING_FESTIVAL"]=8;</v>
      </c>
      <c r="U117" t="str">
        <f t="shared" si="30"/>
        <v/>
      </c>
      <c r="V117" t="str">
        <f t="shared" si="31"/>
        <v/>
      </c>
      <c r="W117" t="str">
        <f t="shared" si="32"/>
        <v/>
      </c>
      <c r="X117" t="str">
        <f t="shared" si="33"/>
        <v/>
      </c>
      <c r="Y117" t="str">
        <f t="shared" si="34"/>
        <v/>
      </c>
    </row>
    <row r="118" spans="3:25" x14ac:dyDescent="0.25">
      <c r="C118" t="s">
        <v>488</v>
      </c>
      <c r="D118" s="1" t="s">
        <v>469</v>
      </c>
      <c r="F118">
        <v>8</v>
      </c>
      <c r="M118" t="str">
        <f t="shared" si="22"/>
        <v>[117]={[2]={["SPRING_FESTIVAL"]=8;};[1]=0x70063EC7;}; --Decorative Wall - 20M (Pristine Ringforge)</v>
      </c>
      <c r="N118" t="str">
        <f t="shared" si="23"/>
        <v>[117]={[1]="DIVIDER1"; [2]={["ENGLISH"] = ""; }; };</v>
      </c>
      <c r="O118" t="str">
        <f t="shared" si="24"/>
        <v>[117]={[1]="DIVIDER2"; [2]={["ENGLISH"] = ""; }; };</v>
      </c>
      <c r="P118" t="str">
        <f t="shared" si="25"/>
        <v/>
      </c>
      <c r="Q118" t="str">
        <f t="shared" si="26"/>
        <v>[1]=0x70063EC7;</v>
      </c>
      <c r="R118" t="str">
        <f t="shared" si="27"/>
        <v/>
      </c>
      <c r="S118" t="str">
        <f t="shared" si="28"/>
        <v>[2]={["SPRING_FESTIVAL"]=8;};</v>
      </c>
      <c r="T118" t="str">
        <f t="shared" si="29"/>
        <v>["SPRING_FESTIVAL"]=8;</v>
      </c>
      <c r="U118" t="str">
        <f t="shared" si="30"/>
        <v/>
      </c>
      <c r="V118" t="str">
        <f t="shared" si="31"/>
        <v/>
      </c>
      <c r="W118" t="str">
        <f t="shared" si="32"/>
        <v/>
      </c>
      <c r="X118" t="str">
        <f t="shared" si="33"/>
        <v/>
      </c>
      <c r="Y118" t="str">
        <f t="shared" si="34"/>
        <v/>
      </c>
    </row>
    <row r="119" spans="3:25" x14ac:dyDescent="0.25">
      <c r="C119" t="s">
        <v>489</v>
      </c>
      <c r="D119" s="1" t="s">
        <v>470</v>
      </c>
      <c r="F119">
        <v>8</v>
      </c>
      <c r="M119" t="str">
        <f t="shared" si="22"/>
        <v>[118]={[2]={["SPRING_FESTIVAL"]=8;};[1]=0x70063EC8;}; --Tall Decorative Wall - 10M (Pristine Ringforge)</v>
      </c>
      <c r="N119" t="str">
        <f t="shared" si="23"/>
        <v>[118]={[1]="DIVIDER1"; [2]={["ENGLISH"] = ""; }; };</v>
      </c>
      <c r="O119" t="str">
        <f t="shared" si="24"/>
        <v>[118]={[1]="DIVIDER2"; [2]={["ENGLISH"] = ""; }; };</v>
      </c>
      <c r="P119" t="str">
        <f t="shared" si="25"/>
        <v/>
      </c>
      <c r="Q119" t="str">
        <f t="shared" si="26"/>
        <v>[1]=0x70063EC8;</v>
      </c>
      <c r="R119" t="str">
        <f t="shared" si="27"/>
        <v/>
      </c>
      <c r="S119" t="str">
        <f t="shared" si="28"/>
        <v>[2]={["SPRING_FESTIVAL"]=8;};</v>
      </c>
      <c r="T119" t="str">
        <f t="shared" si="29"/>
        <v>["SPRING_FESTIVAL"]=8;</v>
      </c>
      <c r="U119" t="str">
        <f t="shared" si="30"/>
        <v/>
      </c>
      <c r="V119" t="str">
        <f t="shared" si="31"/>
        <v/>
      </c>
      <c r="W119" t="str">
        <f t="shared" si="32"/>
        <v/>
      </c>
      <c r="X119" t="str">
        <f t="shared" si="33"/>
        <v/>
      </c>
      <c r="Y119" t="str">
        <f t="shared" si="34"/>
        <v/>
      </c>
    </row>
    <row r="120" spans="3:25" x14ac:dyDescent="0.25">
      <c r="C120" t="s">
        <v>490</v>
      </c>
      <c r="D120" s="1" t="s">
        <v>471</v>
      </c>
      <c r="F120">
        <v>8</v>
      </c>
      <c r="M120" t="str">
        <f t="shared" si="22"/>
        <v>[119]={[2]={["SPRING_FESTIVAL"]=8;};[1]=0x70063EC9;}; --Tall Decorative Wall - 20M (Pristine Ringforge)</v>
      </c>
      <c r="N120" t="str">
        <f t="shared" si="23"/>
        <v>[119]={[1]="DIVIDER1"; [2]={["ENGLISH"] = ""; }; };</v>
      </c>
      <c r="O120" t="str">
        <f t="shared" si="24"/>
        <v>[119]={[1]="DIVIDER2"; [2]={["ENGLISH"] = ""; }; };</v>
      </c>
      <c r="P120" t="str">
        <f t="shared" si="25"/>
        <v/>
      </c>
      <c r="Q120" t="str">
        <f t="shared" si="26"/>
        <v>[1]=0x70063EC9;</v>
      </c>
      <c r="R120" t="str">
        <f t="shared" si="27"/>
        <v/>
      </c>
      <c r="S120" t="str">
        <f t="shared" si="28"/>
        <v>[2]={["SPRING_FESTIVAL"]=8;};</v>
      </c>
      <c r="T120" t="str">
        <f t="shared" si="29"/>
        <v>["SPRING_FESTIVAL"]=8;</v>
      </c>
      <c r="U120" t="str">
        <f t="shared" si="30"/>
        <v/>
      </c>
      <c r="V120" t="str">
        <f t="shared" si="31"/>
        <v/>
      </c>
      <c r="W120" t="str">
        <f t="shared" si="32"/>
        <v/>
      </c>
      <c r="X120" t="str">
        <f t="shared" si="33"/>
        <v/>
      </c>
      <c r="Y120" t="str">
        <f t="shared" si="34"/>
        <v/>
      </c>
    </row>
    <row r="121" spans="3:25" x14ac:dyDescent="0.25">
      <c r="C121" t="s">
        <v>491</v>
      </c>
      <c r="D121" s="1" t="s">
        <v>472</v>
      </c>
      <c r="F121">
        <v>13</v>
      </c>
      <c r="M121" t="str">
        <f t="shared" si="22"/>
        <v>[120]={[2]={["SPRING_FESTIVAL"]=13;};[1]=0x70063EBB;}; --Dark Green Marble Floor</v>
      </c>
      <c r="N121" t="str">
        <f t="shared" si="23"/>
        <v>[120]={[1]="DIVIDER1"; [2]={["ENGLISH"] = ""; }; };</v>
      </c>
      <c r="O121" t="str">
        <f t="shared" si="24"/>
        <v>[120]={[1]="DIVIDER2"; [2]={["ENGLISH"] = ""; }; };</v>
      </c>
      <c r="P121" t="str">
        <f t="shared" si="25"/>
        <v/>
      </c>
      <c r="Q121" t="str">
        <f t="shared" si="26"/>
        <v>[1]=0x70063EBB;</v>
      </c>
      <c r="R121" t="str">
        <f t="shared" si="27"/>
        <v/>
      </c>
      <c r="S121" t="str">
        <f t="shared" si="28"/>
        <v>[2]={["SPRING_FESTIVAL"]=13;};</v>
      </c>
      <c r="T121" t="str">
        <f t="shared" si="29"/>
        <v>["SPRING_FESTIVAL"]=13;</v>
      </c>
      <c r="U121" t="str">
        <f t="shared" si="30"/>
        <v/>
      </c>
      <c r="V121" t="str">
        <f t="shared" si="31"/>
        <v/>
      </c>
      <c r="W121" t="str">
        <f t="shared" si="32"/>
        <v/>
      </c>
      <c r="X121" t="str">
        <f t="shared" si="33"/>
        <v/>
      </c>
      <c r="Y121" t="str">
        <f t="shared" si="34"/>
        <v/>
      </c>
    </row>
    <row r="122" spans="3:25" x14ac:dyDescent="0.25">
      <c r="C122" t="s">
        <v>492</v>
      </c>
      <c r="D122" s="1" t="s">
        <v>473</v>
      </c>
      <c r="F122">
        <v>8</v>
      </c>
      <c r="M122" t="str">
        <f t="shared" si="22"/>
        <v>[121]={[2]={["SPRING_FESTIVAL"]=8;};[1]=0x70063EC5;}; --Decorative Dark Green Marble Platform</v>
      </c>
      <c r="N122" t="str">
        <f t="shared" si="23"/>
        <v>[121]={[1]="DIVIDER1"; [2]={["ENGLISH"] = ""; }; };</v>
      </c>
      <c r="O122" t="str">
        <f t="shared" si="24"/>
        <v>[121]={[1]="DIVIDER2"; [2]={["ENGLISH"] = ""; }; };</v>
      </c>
      <c r="P122" t="str">
        <f t="shared" si="25"/>
        <v/>
      </c>
      <c r="Q122" t="str">
        <f t="shared" si="26"/>
        <v>[1]=0x70063EC5;</v>
      </c>
      <c r="R122" t="str">
        <f t="shared" si="27"/>
        <v/>
      </c>
      <c r="S122" t="str">
        <f t="shared" si="28"/>
        <v>[2]={["SPRING_FESTIVAL"]=8;};</v>
      </c>
      <c r="T122" t="str">
        <f t="shared" si="29"/>
        <v>["SPRING_FESTIVAL"]=8;</v>
      </c>
      <c r="U122" t="str">
        <f t="shared" si="30"/>
        <v/>
      </c>
      <c r="V122" t="str">
        <f t="shared" si="31"/>
        <v/>
      </c>
      <c r="W122" t="str">
        <f t="shared" si="32"/>
        <v/>
      </c>
      <c r="X122" t="str">
        <f t="shared" si="33"/>
        <v/>
      </c>
      <c r="Y122" t="str">
        <f t="shared" si="34"/>
        <v/>
      </c>
    </row>
    <row r="123" spans="3:25" x14ac:dyDescent="0.25">
      <c r="C123" t="s">
        <v>493</v>
      </c>
      <c r="D123" s="1" t="s">
        <v>474</v>
      </c>
      <c r="F123">
        <v>25</v>
      </c>
      <c r="M123" t="str">
        <f t="shared" si="22"/>
        <v>[122]={[2]={["SPRING_FESTIVAL"]=25;};[1]=0x7006ED5A;}; --Lily Pond and Fountain of Budding Spring</v>
      </c>
      <c r="N123" t="str">
        <f t="shared" si="23"/>
        <v>[122]={[1]="DIVIDER1"; [2]={["ENGLISH"] = ""; }; };</v>
      </c>
      <c r="O123" t="str">
        <f t="shared" si="24"/>
        <v>[122]={[1]="DIVIDER2"; [2]={["ENGLISH"] = ""; }; };</v>
      </c>
      <c r="P123" t="str">
        <f t="shared" si="25"/>
        <v/>
      </c>
      <c r="Q123" t="str">
        <f t="shared" si="26"/>
        <v>[1]=0x7006ED5A;</v>
      </c>
      <c r="R123" t="str">
        <f t="shared" si="27"/>
        <v/>
      </c>
      <c r="S123" t="str">
        <f t="shared" si="28"/>
        <v>[2]={["SPRING_FESTIVAL"]=25;};</v>
      </c>
      <c r="T123" t="str">
        <f t="shared" si="29"/>
        <v>["SPRING_FESTIVAL"]=25;</v>
      </c>
      <c r="U123" t="str">
        <f t="shared" si="30"/>
        <v/>
      </c>
      <c r="V123" t="str">
        <f t="shared" si="31"/>
        <v/>
      </c>
      <c r="W123" t="str">
        <f t="shared" si="32"/>
        <v/>
      </c>
      <c r="X123" t="str">
        <f t="shared" si="33"/>
        <v/>
      </c>
      <c r="Y123" t="str">
        <f t="shared" si="34"/>
        <v/>
      </c>
    </row>
    <row r="124" spans="3:25" x14ac:dyDescent="0.25">
      <c r="C124" t="s">
        <v>494</v>
      </c>
      <c r="D124" s="1" t="s">
        <v>475</v>
      </c>
      <c r="F124">
        <v>13</v>
      </c>
      <c r="M124" t="str">
        <f t="shared" si="22"/>
        <v>[123]={[2]={["SPRING_FESTIVAL"]=13;};[1]=0x7006E903;}; --Purple Flowering Hedge</v>
      </c>
      <c r="N124" t="str">
        <f t="shared" si="23"/>
        <v>[123]={[1]="DIVIDER1"; [2]={["ENGLISH"] = ""; }; };</v>
      </c>
      <c r="O124" t="str">
        <f t="shared" si="24"/>
        <v>[123]={[1]="DIVIDER2"; [2]={["ENGLISH"] = ""; }; };</v>
      </c>
      <c r="P124" t="str">
        <f t="shared" si="25"/>
        <v/>
      </c>
      <c r="Q124" t="str">
        <f t="shared" si="26"/>
        <v>[1]=0x7006E903;</v>
      </c>
      <c r="R124" t="str">
        <f t="shared" si="27"/>
        <v/>
      </c>
      <c r="S124" t="str">
        <f t="shared" si="28"/>
        <v>[2]={["SPRING_FESTIVAL"]=13;};</v>
      </c>
      <c r="T124" t="str">
        <f t="shared" si="29"/>
        <v>["SPRING_FESTIVAL"]=13;</v>
      </c>
      <c r="U124" t="str">
        <f t="shared" si="30"/>
        <v/>
      </c>
      <c r="V124" t="str">
        <f t="shared" si="31"/>
        <v/>
      </c>
      <c r="W124" t="str">
        <f t="shared" si="32"/>
        <v/>
      </c>
      <c r="X124" t="str">
        <f t="shared" si="33"/>
        <v/>
      </c>
      <c r="Y124" t="str">
        <f t="shared" si="34"/>
        <v/>
      </c>
    </row>
    <row r="125" spans="3:25" x14ac:dyDescent="0.25">
      <c r="C125" t="s">
        <v>495</v>
      </c>
      <c r="D125" s="1" t="s">
        <v>476</v>
      </c>
      <c r="F125">
        <v>13</v>
      </c>
      <c r="M125" t="str">
        <f t="shared" si="22"/>
        <v>[124]={[2]={["SPRING_FESTIVAL"]=13;};[1]=0x7006E8F6;}; --Red Flowering Hedge</v>
      </c>
      <c r="N125" t="str">
        <f t="shared" si="23"/>
        <v>[124]={[1]="DIVIDER1"; [2]={["ENGLISH"] = ""; }; };</v>
      </c>
      <c r="O125" t="str">
        <f t="shared" si="24"/>
        <v>[124]={[1]="DIVIDER2"; [2]={["ENGLISH"] = ""; }; };</v>
      </c>
      <c r="P125" t="str">
        <f t="shared" si="25"/>
        <v/>
      </c>
      <c r="Q125" t="str">
        <f t="shared" si="26"/>
        <v>[1]=0x7006E8F6;</v>
      </c>
      <c r="R125" t="str">
        <f t="shared" si="27"/>
        <v/>
      </c>
      <c r="S125" t="str">
        <f t="shared" si="28"/>
        <v>[2]={["SPRING_FESTIVAL"]=13;};</v>
      </c>
      <c r="T125" t="str">
        <f t="shared" si="29"/>
        <v>["SPRING_FESTIVAL"]=13;</v>
      </c>
      <c r="U125" t="str">
        <f t="shared" si="30"/>
        <v/>
      </c>
      <c r="V125" t="str">
        <f t="shared" si="31"/>
        <v/>
      </c>
      <c r="W125" t="str">
        <f t="shared" si="32"/>
        <v/>
      </c>
      <c r="X125" t="str">
        <f t="shared" si="33"/>
        <v/>
      </c>
      <c r="Y125" t="str">
        <f t="shared" si="34"/>
        <v/>
      </c>
    </row>
    <row r="126" spans="3:25" x14ac:dyDescent="0.25">
      <c r="C126" t="s">
        <v>496</v>
      </c>
      <c r="D126" s="1" t="s">
        <v>477</v>
      </c>
      <c r="F126">
        <v>13</v>
      </c>
      <c r="M126" t="str">
        <f t="shared" si="22"/>
        <v>[125]={[2]={["SPRING_FESTIVAL"]=13;};[1]=0x7006E8FA;}; --Yellow Flowering Hedge</v>
      </c>
      <c r="N126" t="str">
        <f t="shared" si="23"/>
        <v>[125]={[1]="DIVIDER1"; [2]={["ENGLISH"] = ""; }; };</v>
      </c>
      <c r="O126" t="str">
        <f t="shared" si="24"/>
        <v>[125]={[1]="DIVIDER2"; [2]={["ENGLISH"] = ""; }; };</v>
      </c>
      <c r="P126" t="str">
        <f t="shared" si="25"/>
        <v/>
      </c>
      <c r="Q126" t="str">
        <f t="shared" si="26"/>
        <v>[1]=0x7006E8FA;</v>
      </c>
      <c r="R126" t="str">
        <f t="shared" si="27"/>
        <v/>
      </c>
      <c r="S126" t="str">
        <f t="shared" si="28"/>
        <v>[2]={["SPRING_FESTIVAL"]=13;};</v>
      </c>
      <c r="T126" t="str">
        <f t="shared" si="29"/>
        <v>["SPRING_FESTIVAL"]=13;</v>
      </c>
      <c r="U126" t="str">
        <f t="shared" si="30"/>
        <v/>
      </c>
      <c r="V126" t="str">
        <f t="shared" si="31"/>
        <v/>
      </c>
      <c r="W126" t="str">
        <f t="shared" si="32"/>
        <v/>
      </c>
      <c r="X126" t="str">
        <f t="shared" si="33"/>
        <v/>
      </c>
      <c r="Y126" t="str">
        <f t="shared" si="34"/>
        <v/>
      </c>
    </row>
    <row r="127" spans="3:25" x14ac:dyDescent="0.25">
      <c r="C127" t="s">
        <v>497</v>
      </c>
      <c r="D127" s="1" t="s">
        <v>478</v>
      </c>
      <c r="F127">
        <v>13</v>
      </c>
      <c r="M127" t="str">
        <f t="shared" si="22"/>
        <v>[126]={[2]={["SPRING_FESTIVAL"]=13;};[1]=0x7006E8F4;}; --Forest Hedge</v>
      </c>
      <c r="N127" t="str">
        <f t="shared" si="23"/>
        <v>[126]={[1]="DIVIDER1"; [2]={["ENGLISH"] = ""; }; };</v>
      </c>
      <c r="O127" t="str">
        <f t="shared" si="24"/>
        <v>[126]={[1]="DIVIDER2"; [2]={["ENGLISH"] = ""; }; };</v>
      </c>
      <c r="P127" t="str">
        <f t="shared" si="25"/>
        <v/>
      </c>
      <c r="Q127" t="str">
        <f t="shared" si="26"/>
        <v>[1]=0x7006E8F4;</v>
      </c>
      <c r="R127" t="str">
        <f t="shared" si="27"/>
        <v/>
      </c>
      <c r="S127" t="str">
        <f t="shared" si="28"/>
        <v>[2]={["SPRING_FESTIVAL"]=13;};</v>
      </c>
      <c r="T127" t="str">
        <f t="shared" si="29"/>
        <v>["SPRING_FESTIVAL"]=13;</v>
      </c>
      <c r="U127" t="str">
        <f t="shared" si="30"/>
        <v/>
      </c>
      <c r="V127" t="str">
        <f t="shared" si="31"/>
        <v/>
      </c>
      <c r="W127" t="str">
        <f t="shared" si="32"/>
        <v/>
      </c>
      <c r="X127" t="str">
        <f t="shared" si="33"/>
        <v/>
      </c>
      <c r="Y127" t="str">
        <f t="shared" si="34"/>
        <v/>
      </c>
    </row>
    <row r="128" spans="3:25" x14ac:dyDescent="0.25">
      <c r="C128" t="s">
        <v>199</v>
      </c>
      <c r="D128" s="1" t="s">
        <v>219</v>
      </c>
      <c r="F128">
        <v>25</v>
      </c>
      <c r="M128" t="str">
        <f t="shared" si="22"/>
        <v>[127]={[2]={["SPRING_FESTIVAL"]=25;};[1]=0x7006A6DE;}; --Tasty Herb Patch</v>
      </c>
      <c r="N128" t="str">
        <f t="shared" si="23"/>
        <v>[127]={[1]="DIVIDER1"; [2]={["ENGLISH"] = ""; }; };</v>
      </c>
      <c r="O128" t="str">
        <f t="shared" si="24"/>
        <v>[127]={[1]="DIVIDER2"; [2]={["ENGLISH"] = ""; }; };</v>
      </c>
      <c r="P128" t="str">
        <f t="shared" si="25"/>
        <v/>
      </c>
      <c r="Q128" t="str">
        <f t="shared" si="26"/>
        <v>[1]=0x7006A6DE;</v>
      </c>
      <c r="R128" t="str">
        <f t="shared" si="27"/>
        <v/>
      </c>
      <c r="S128" t="str">
        <f t="shared" si="28"/>
        <v>[2]={["SPRING_FESTIVAL"]=25;};</v>
      </c>
      <c r="T128" t="str">
        <f t="shared" si="29"/>
        <v>["SPRING_FESTIVAL"]=25;</v>
      </c>
      <c r="U128" t="str">
        <f t="shared" si="30"/>
        <v/>
      </c>
      <c r="V128" t="str">
        <f t="shared" si="31"/>
        <v/>
      </c>
      <c r="W128" t="str">
        <f t="shared" si="32"/>
        <v/>
      </c>
      <c r="X128" t="str">
        <f t="shared" si="33"/>
        <v/>
      </c>
      <c r="Y128" t="str">
        <f t="shared" si="34"/>
        <v/>
      </c>
    </row>
    <row r="129" spans="3:25" x14ac:dyDescent="0.25">
      <c r="C129" t="s">
        <v>200</v>
      </c>
      <c r="D129" s="1" t="s">
        <v>220</v>
      </c>
      <c r="F129">
        <v>8</v>
      </c>
      <c r="M129" t="str">
        <f t="shared" si="22"/>
        <v>[128]={[2]={["SPRING_FESTIVAL"]=8;};[1]=0x70064A3D;}; --Cozy Teapot</v>
      </c>
      <c r="N129" t="str">
        <f t="shared" si="23"/>
        <v>[128]={[1]="DIVIDER1"; [2]={["ENGLISH"] = ""; }; };</v>
      </c>
      <c r="O129" t="str">
        <f t="shared" si="24"/>
        <v>[128]={[1]="DIVIDER2"; [2]={["ENGLISH"] = ""; }; };</v>
      </c>
      <c r="P129" t="str">
        <f t="shared" si="25"/>
        <v/>
      </c>
      <c r="Q129" t="str">
        <f t="shared" si="26"/>
        <v>[1]=0x70064A3D;</v>
      </c>
      <c r="R129" t="str">
        <f t="shared" si="27"/>
        <v/>
      </c>
      <c r="S129" t="str">
        <f t="shared" si="28"/>
        <v>[2]={["SPRING_FESTIVAL"]=8;};</v>
      </c>
      <c r="T129" t="str">
        <f t="shared" si="29"/>
        <v>["SPRING_FESTIVAL"]=8;</v>
      </c>
      <c r="U129" t="str">
        <f t="shared" si="30"/>
        <v/>
      </c>
      <c r="V129" t="str">
        <f t="shared" si="31"/>
        <v/>
      </c>
      <c r="W129" t="str">
        <f t="shared" si="32"/>
        <v/>
      </c>
      <c r="X129" t="str">
        <f t="shared" si="33"/>
        <v/>
      </c>
      <c r="Y129" t="str">
        <f t="shared" si="34"/>
        <v/>
      </c>
    </row>
    <row r="130" spans="3:25" x14ac:dyDescent="0.25">
      <c r="C130" t="s">
        <v>201</v>
      </c>
      <c r="D130" s="1" t="s">
        <v>221</v>
      </c>
      <c r="F130">
        <v>13</v>
      </c>
      <c r="M130" t="str">
        <f t="shared" si="22"/>
        <v>[129]={[2]={["SPRING_FESTIVAL"]=13;};[1]=0x70064A3E;}; --Wall-mounted Shield of New Growth</v>
      </c>
      <c r="N130" t="str">
        <f t="shared" si="23"/>
        <v>[129]={[1]="DIVIDER1"; [2]={["ENGLISH"] = ""; }; };</v>
      </c>
      <c r="O130" t="str">
        <f t="shared" si="24"/>
        <v>[129]={[1]="DIVIDER2"; [2]={["ENGLISH"] = ""; }; };</v>
      </c>
      <c r="P130" t="str">
        <f t="shared" si="25"/>
        <v/>
      </c>
      <c r="Q130" t="str">
        <f t="shared" si="26"/>
        <v>[1]=0x70064A3E;</v>
      </c>
      <c r="R130" t="str">
        <f t="shared" si="27"/>
        <v/>
      </c>
      <c r="S130" t="str">
        <f t="shared" si="28"/>
        <v>[2]={["SPRING_FESTIVAL"]=13;};</v>
      </c>
      <c r="T130" t="str">
        <f t="shared" si="29"/>
        <v>["SPRING_FESTIVAL"]=13;</v>
      </c>
      <c r="U130" t="str">
        <f t="shared" si="30"/>
        <v/>
      </c>
      <c r="V130" t="str">
        <f t="shared" si="31"/>
        <v/>
      </c>
      <c r="W130" t="str">
        <f t="shared" si="32"/>
        <v/>
      </c>
      <c r="X130" t="str">
        <f t="shared" si="33"/>
        <v/>
      </c>
      <c r="Y130" t="str">
        <f t="shared" si="34"/>
        <v/>
      </c>
    </row>
    <row r="131" spans="3:25" x14ac:dyDescent="0.25">
      <c r="C131" t="s">
        <v>202</v>
      </c>
      <c r="D131" s="1" t="s">
        <v>222</v>
      </c>
      <c r="F131">
        <v>18</v>
      </c>
      <c r="M131" t="str">
        <f t="shared" ref="M131:M194" si="35">IF(
  NOT(ISBLANK(A131)),
  N131,
  IF(
    NOT(ISBLANK(B131)),
    O131,
    CONCATENATE("[",ROW()-1,"]={",R131,S131,Q131,"};"," --",C131)
  )
)</f>
        <v>[130]={[2]={["SPRING_FESTIVAL"]=18;};[1]=0x700619EB;}; --The Roaring Bull Inn Signpost</v>
      </c>
      <c r="N131" t="str">
        <f t="shared" ref="N131:N194" si="36">CONCATENATE("[",ROW()-1,"]={[1]=""DIVIDER1""; [2]={[""ENGLISH""] = """,A131,"""; }; ",P131,"};")</f>
        <v>[130]={[1]="DIVIDER1"; [2]={["ENGLISH"] = ""; }; };</v>
      </c>
      <c r="O131" t="str">
        <f t="shared" ref="O131:O194" si="37">CONCATENATE("[",ROW()-1,"]={[1]=""DIVIDER2""; [2]={[""ENGLISH""] = """,B131,"""; }; ",P131,"};")</f>
        <v>[130]={[1]="DIVIDER2"; [2]={["ENGLISH"] = ""; }; };</v>
      </c>
      <c r="P131" t="str">
        <f t="shared" ref="P131:P194" si="38">IF(LEN(L131)&gt;0,CONCATENATE("[""DIVIDER_HEIGHT""] = ",L131,";"),"")</f>
        <v/>
      </c>
      <c r="Q131" t="str">
        <f t="shared" ref="Q131:Q194" si="39">CONCATENATE("[1]=",D131,";")</f>
        <v>[1]=0x700619EB;</v>
      </c>
      <c r="R131" t="str">
        <f t="shared" ref="R131:R194" si="40">IF(E131&gt;0,CONCATENATE("[3]=",E131,";"),"")</f>
        <v/>
      </c>
      <c r="S131" t="str">
        <f t="shared" ref="S131:S194" si="41">_xlfn.TEXTJOIN("",TRUE,"[2]={",T131:Y131,"};")</f>
        <v>[2]={["SPRING_FESTIVAL"]=18;};</v>
      </c>
      <c r="T131" t="str">
        <f t="shared" ref="T131:T194" si="42">IF(F131&gt;0,CONCATENATE("[""",F$1,"""]=",F131,";"),"")</f>
        <v>["SPRING_FESTIVAL"]=18;</v>
      </c>
      <c r="U131" t="str">
        <f t="shared" ref="U131:U194" si="43">IF(G131&gt;0,CONCATENATE("[""",G$1,"""]=",G131,";"),"")</f>
        <v/>
      </c>
      <c r="V131" t="str">
        <f t="shared" ref="V131:V194" si="44">IF(H131&gt;0,CONCATENATE("[""",H$1,"""]=",H131,";"),"")</f>
        <v/>
      </c>
      <c r="W131" t="str">
        <f t="shared" ref="W131:W194" si="45">IF(I131&gt;0,CONCATENATE("[""",I$1,"""]=",I131,";"),"")</f>
        <v/>
      </c>
      <c r="X131" t="str">
        <f t="shared" ref="X131:X194" si="46">IF(J131&gt;0,CONCATENATE("[""",J$1,"""]=",J131,";"),"")</f>
        <v/>
      </c>
      <c r="Y131" t="str">
        <f t="shared" ref="Y131:Y194" si="47">IF(K131&gt;0,CONCATENATE("[""",K$1,"""]=",K131,";"),"")</f>
        <v/>
      </c>
    </row>
    <row r="132" spans="3:25" x14ac:dyDescent="0.25">
      <c r="C132" t="s">
        <v>203</v>
      </c>
      <c r="D132" s="1" t="s">
        <v>223</v>
      </c>
      <c r="F132">
        <v>18</v>
      </c>
      <c r="M132" t="str">
        <f t="shared" si="35"/>
        <v>[131]={[2]={["SPRING_FESTIVAL"]=18;};[1]=0x70064AAF;}; --Small Grove of Flowering Spring Trees</v>
      </c>
      <c r="N132" t="str">
        <f t="shared" si="36"/>
        <v>[131]={[1]="DIVIDER1"; [2]={["ENGLISH"] = ""; }; };</v>
      </c>
      <c r="O132" t="str">
        <f t="shared" si="37"/>
        <v>[131]={[1]="DIVIDER2"; [2]={["ENGLISH"] = ""; }; };</v>
      </c>
      <c r="P132" t="str">
        <f t="shared" si="38"/>
        <v/>
      </c>
      <c r="Q132" t="str">
        <f t="shared" si="39"/>
        <v>[1]=0x70064AAF;</v>
      </c>
      <c r="R132" t="str">
        <f t="shared" si="40"/>
        <v/>
      </c>
      <c r="S132" t="str">
        <f t="shared" si="41"/>
        <v>[2]={["SPRING_FESTIVAL"]=18;};</v>
      </c>
      <c r="T132" t="str">
        <f t="shared" si="42"/>
        <v>["SPRING_FESTIVAL"]=18;</v>
      </c>
      <c r="U132" t="str">
        <f t="shared" si="43"/>
        <v/>
      </c>
      <c r="V132" t="str">
        <f t="shared" si="44"/>
        <v/>
      </c>
      <c r="W132" t="str">
        <f t="shared" si="45"/>
        <v/>
      </c>
      <c r="X132" t="str">
        <f t="shared" si="46"/>
        <v/>
      </c>
      <c r="Y132" t="str">
        <f t="shared" si="47"/>
        <v/>
      </c>
    </row>
    <row r="133" spans="3:25" x14ac:dyDescent="0.25">
      <c r="C133" t="s">
        <v>204</v>
      </c>
      <c r="D133" s="1" t="s">
        <v>224</v>
      </c>
      <c r="F133">
        <v>18</v>
      </c>
      <c r="M133" t="str">
        <f t="shared" si="35"/>
        <v>[132]={[2]={["SPRING_FESTIVAL"]=18;};[1]=0x70064AB1;}; --Small Grove of Early Spring Trees</v>
      </c>
      <c r="N133" t="str">
        <f t="shared" si="36"/>
        <v>[132]={[1]="DIVIDER1"; [2]={["ENGLISH"] = ""; }; };</v>
      </c>
      <c r="O133" t="str">
        <f t="shared" si="37"/>
        <v>[132]={[1]="DIVIDER2"; [2]={["ENGLISH"] = ""; }; };</v>
      </c>
      <c r="P133" t="str">
        <f t="shared" si="38"/>
        <v/>
      </c>
      <c r="Q133" t="str">
        <f t="shared" si="39"/>
        <v>[1]=0x70064AB1;</v>
      </c>
      <c r="R133" t="str">
        <f t="shared" si="40"/>
        <v/>
      </c>
      <c r="S133" t="str">
        <f t="shared" si="41"/>
        <v>[2]={["SPRING_FESTIVAL"]=18;};</v>
      </c>
      <c r="T133" t="str">
        <f t="shared" si="42"/>
        <v>["SPRING_FESTIVAL"]=18;</v>
      </c>
      <c r="U133" t="str">
        <f t="shared" si="43"/>
        <v/>
      </c>
      <c r="V133" t="str">
        <f t="shared" si="44"/>
        <v/>
      </c>
      <c r="W133" t="str">
        <f t="shared" si="45"/>
        <v/>
      </c>
      <c r="X133" t="str">
        <f t="shared" si="46"/>
        <v/>
      </c>
      <c r="Y133" t="str">
        <f t="shared" si="47"/>
        <v/>
      </c>
    </row>
    <row r="134" spans="3:25" x14ac:dyDescent="0.25">
      <c r="C134" t="s">
        <v>225</v>
      </c>
      <c r="D134" s="1" t="s">
        <v>226</v>
      </c>
      <c r="F134">
        <v>8</v>
      </c>
      <c r="M134" t="str">
        <f t="shared" si="35"/>
        <v>[133]={[2]={["SPRING_FESTIVAL"]=8;};[1]=0x70064AB3;}; --White Flowering Spring Tree</v>
      </c>
      <c r="N134" t="str">
        <f t="shared" si="36"/>
        <v>[133]={[1]="DIVIDER1"; [2]={["ENGLISH"] = ""; }; };</v>
      </c>
      <c r="O134" t="str">
        <f t="shared" si="37"/>
        <v>[133]={[1]="DIVIDER2"; [2]={["ENGLISH"] = ""; }; };</v>
      </c>
      <c r="P134" t="str">
        <f t="shared" si="38"/>
        <v/>
      </c>
      <c r="Q134" t="str">
        <f t="shared" si="39"/>
        <v>[1]=0x70064AB3;</v>
      </c>
      <c r="R134" t="str">
        <f t="shared" si="40"/>
        <v/>
      </c>
      <c r="S134" t="str">
        <f t="shared" si="41"/>
        <v>[2]={["SPRING_FESTIVAL"]=8;};</v>
      </c>
      <c r="T134" t="str">
        <f t="shared" si="42"/>
        <v>["SPRING_FESTIVAL"]=8;</v>
      </c>
      <c r="U134" t="str">
        <f t="shared" si="43"/>
        <v/>
      </c>
      <c r="V134" t="str">
        <f t="shared" si="44"/>
        <v/>
      </c>
      <c r="W134" t="str">
        <f t="shared" si="45"/>
        <v/>
      </c>
      <c r="X134" t="str">
        <f t="shared" si="46"/>
        <v/>
      </c>
      <c r="Y134" t="str">
        <f t="shared" si="47"/>
        <v/>
      </c>
    </row>
    <row r="135" spans="3:25" x14ac:dyDescent="0.25">
      <c r="C135" t="s">
        <v>205</v>
      </c>
      <c r="D135" s="1" t="s">
        <v>227</v>
      </c>
      <c r="F135">
        <v>8</v>
      </c>
      <c r="M135" t="str">
        <f t="shared" si="35"/>
        <v>[134]={[2]={["SPRING_FESTIVAL"]=8;};[1]=0x70064AB5;}; --Flowering Spring Tree</v>
      </c>
      <c r="N135" t="str">
        <f t="shared" si="36"/>
        <v>[134]={[1]="DIVIDER1"; [2]={["ENGLISH"] = ""; }; };</v>
      </c>
      <c r="O135" t="str">
        <f t="shared" si="37"/>
        <v>[134]={[1]="DIVIDER2"; [2]={["ENGLISH"] = ""; }; };</v>
      </c>
      <c r="P135" t="str">
        <f t="shared" si="38"/>
        <v/>
      </c>
      <c r="Q135" t="str">
        <f t="shared" si="39"/>
        <v>[1]=0x70064AB5;</v>
      </c>
      <c r="R135" t="str">
        <f t="shared" si="40"/>
        <v/>
      </c>
      <c r="S135" t="str">
        <f t="shared" si="41"/>
        <v>[2]={["SPRING_FESTIVAL"]=8;};</v>
      </c>
      <c r="T135" t="str">
        <f t="shared" si="42"/>
        <v>["SPRING_FESTIVAL"]=8;</v>
      </c>
      <c r="U135" t="str">
        <f t="shared" si="43"/>
        <v/>
      </c>
      <c r="V135" t="str">
        <f t="shared" si="44"/>
        <v/>
      </c>
      <c r="W135" t="str">
        <f t="shared" si="45"/>
        <v/>
      </c>
      <c r="X135" t="str">
        <f t="shared" si="46"/>
        <v/>
      </c>
      <c r="Y135" t="str">
        <f t="shared" si="47"/>
        <v/>
      </c>
    </row>
    <row r="136" spans="3:25" x14ac:dyDescent="0.25">
      <c r="C136" t="s">
        <v>206</v>
      </c>
      <c r="D136" s="1" t="s">
        <v>228</v>
      </c>
      <c r="F136">
        <v>13</v>
      </c>
      <c r="M136" t="str">
        <f t="shared" si="35"/>
        <v>[135]={[2]={["SPRING_FESTIVAL"]=13;};[1]=0x70064AB4;}; --Large Flowering Spring Tree</v>
      </c>
      <c r="N136" t="str">
        <f t="shared" si="36"/>
        <v>[135]={[1]="DIVIDER1"; [2]={["ENGLISH"] = ""; }; };</v>
      </c>
      <c r="O136" t="str">
        <f t="shared" si="37"/>
        <v>[135]={[1]="DIVIDER2"; [2]={["ENGLISH"] = ""; }; };</v>
      </c>
      <c r="P136" t="str">
        <f t="shared" si="38"/>
        <v/>
      </c>
      <c r="Q136" t="str">
        <f t="shared" si="39"/>
        <v>[1]=0x70064AB4;</v>
      </c>
      <c r="R136" t="str">
        <f t="shared" si="40"/>
        <v/>
      </c>
      <c r="S136" t="str">
        <f t="shared" si="41"/>
        <v>[2]={["SPRING_FESTIVAL"]=13;};</v>
      </c>
      <c r="T136" t="str">
        <f t="shared" si="42"/>
        <v>["SPRING_FESTIVAL"]=13;</v>
      </c>
      <c r="U136" t="str">
        <f t="shared" si="43"/>
        <v/>
      </c>
      <c r="V136" t="str">
        <f t="shared" si="44"/>
        <v/>
      </c>
      <c r="W136" t="str">
        <f t="shared" si="45"/>
        <v/>
      </c>
      <c r="X136" t="str">
        <f t="shared" si="46"/>
        <v/>
      </c>
      <c r="Y136" t="str">
        <f t="shared" si="47"/>
        <v/>
      </c>
    </row>
    <row r="137" spans="3:25" x14ac:dyDescent="0.25">
      <c r="C137" t="s">
        <v>207</v>
      </c>
      <c r="D137" s="1" t="s">
        <v>229</v>
      </c>
      <c r="F137">
        <v>13</v>
      </c>
      <c r="M137" t="str">
        <f t="shared" si="35"/>
        <v>[136]={[2]={["SPRING_FESTIVAL"]=13;};[1]=0x70064AB2;}; --Large Early Spring Tree</v>
      </c>
      <c r="N137" t="str">
        <f t="shared" si="36"/>
        <v>[136]={[1]="DIVIDER1"; [2]={["ENGLISH"] = ""; }; };</v>
      </c>
      <c r="O137" t="str">
        <f t="shared" si="37"/>
        <v>[136]={[1]="DIVIDER2"; [2]={["ENGLISH"] = ""; }; };</v>
      </c>
      <c r="P137" t="str">
        <f t="shared" si="38"/>
        <v/>
      </c>
      <c r="Q137" t="str">
        <f t="shared" si="39"/>
        <v>[1]=0x70064AB2;</v>
      </c>
      <c r="R137" t="str">
        <f t="shared" si="40"/>
        <v/>
      </c>
      <c r="S137" t="str">
        <f t="shared" si="41"/>
        <v>[2]={["SPRING_FESTIVAL"]=13;};</v>
      </c>
      <c r="T137" t="str">
        <f t="shared" si="42"/>
        <v>["SPRING_FESTIVAL"]=13;</v>
      </c>
      <c r="U137" t="str">
        <f t="shared" si="43"/>
        <v/>
      </c>
      <c r="V137" t="str">
        <f t="shared" si="44"/>
        <v/>
      </c>
      <c r="W137" t="str">
        <f t="shared" si="45"/>
        <v/>
      </c>
      <c r="X137" t="str">
        <f t="shared" si="46"/>
        <v/>
      </c>
      <c r="Y137" t="str">
        <f t="shared" si="47"/>
        <v/>
      </c>
    </row>
    <row r="138" spans="3:25" x14ac:dyDescent="0.25">
      <c r="C138" t="s">
        <v>208</v>
      </c>
      <c r="D138" s="1" t="s">
        <v>230</v>
      </c>
      <c r="F138">
        <v>13</v>
      </c>
      <c r="M138" t="str">
        <f t="shared" si="35"/>
        <v>[137]={[2]={["SPRING_FESTIVAL"]=13;};[1]=0x70064AAE;}; --Large White Flowering Spring Tree</v>
      </c>
      <c r="N138" t="str">
        <f t="shared" si="36"/>
        <v>[137]={[1]="DIVIDER1"; [2]={["ENGLISH"] = ""; }; };</v>
      </c>
      <c r="O138" t="str">
        <f t="shared" si="37"/>
        <v>[137]={[1]="DIVIDER2"; [2]={["ENGLISH"] = ""; }; };</v>
      </c>
      <c r="P138" t="str">
        <f t="shared" si="38"/>
        <v/>
      </c>
      <c r="Q138" t="str">
        <f t="shared" si="39"/>
        <v>[1]=0x70064AAE;</v>
      </c>
      <c r="R138" t="str">
        <f t="shared" si="40"/>
        <v/>
      </c>
      <c r="S138" t="str">
        <f t="shared" si="41"/>
        <v>[2]={["SPRING_FESTIVAL"]=13;};</v>
      </c>
      <c r="T138" t="str">
        <f t="shared" si="42"/>
        <v>["SPRING_FESTIVAL"]=13;</v>
      </c>
      <c r="U138" t="str">
        <f t="shared" si="43"/>
        <v/>
      </c>
      <c r="V138" t="str">
        <f t="shared" si="44"/>
        <v/>
      </c>
      <c r="W138" t="str">
        <f t="shared" si="45"/>
        <v/>
      </c>
      <c r="X138" t="str">
        <f t="shared" si="46"/>
        <v/>
      </c>
      <c r="Y138" t="str">
        <f t="shared" si="47"/>
        <v/>
      </c>
    </row>
    <row r="139" spans="3:25" x14ac:dyDescent="0.25">
      <c r="C139" t="s">
        <v>209</v>
      </c>
      <c r="D139" s="1" t="s">
        <v>231</v>
      </c>
      <c r="F139">
        <v>13</v>
      </c>
      <c r="M139" t="str">
        <f t="shared" si="35"/>
        <v>[138]={[2]={["SPRING_FESTIVAL"]=13;};[1]=0x7006332A;}; --Ruined Arnorian Bridge</v>
      </c>
      <c r="N139" t="str">
        <f t="shared" si="36"/>
        <v>[138]={[1]="DIVIDER1"; [2]={["ENGLISH"] = ""; }; };</v>
      </c>
      <c r="O139" t="str">
        <f t="shared" si="37"/>
        <v>[138]={[1]="DIVIDER2"; [2]={["ENGLISH"] = ""; }; };</v>
      </c>
      <c r="P139" t="str">
        <f t="shared" si="38"/>
        <v/>
      </c>
      <c r="Q139" t="str">
        <f t="shared" si="39"/>
        <v>[1]=0x7006332A;</v>
      </c>
      <c r="R139" t="str">
        <f t="shared" si="40"/>
        <v/>
      </c>
      <c r="S139" t="str">
        <f t="shared" si="41"/>
        <v>[2]={["SPRING_FESTIVAL"]=13;};</v>
      </c>
      <c r="T139" t="str">
        <f t="shared" si="42"/>
        <v>["SPRING_FESTIVAL"]=13;</v>
      </c>
      <c r="U139" t="str">
        <f t="shared" si="43"/>
        <v/>
      </c>
      <c r="V139" t="str">
        <f t="shared" si="44"/>
        <v/>
      </c>
      <c r="W139" t="str">
        <f t="shared" si="45"/>
        <v/>
      </c>
      <c r="X139" t="str">
        <f t="shared" si="46"/>
        <v/>
      </c>
      <c r="Y139" t="str">
        <f t="shared" si="47"/>
        <v/>
      </c>
    </row>
    <row r="140" spans="3:25" x14ac:dyDescent="0.25">
      <c r="C140" t="s">
        <v>210</v>
      </c>
      <c r="D140" s="1" t="s">
        <v>232</v>
      </c>
      <c r="F140">
        <v>18</v>
      </c>
      <c r="M140" t="str">
        <f t="shared" si="35"/>
        <v>[139]={[2]={["SPRING_FESTIVAL"]=18;};[1]=0x70063364;}; --Small Arnorian Watch-tower</v>
      </c>
      <c r="N140" t="str">
        <f t="shared" si="36"/>
        <v>[139]={[1]="DIVIDER1"; [2]={["ENGLISH"] = ""; }; };</v>
      </c>
      <c r="O140" t="str">
        <f t="shared" si="37"/>
        <v>[139]={[1]="DIVIDER2"; [2]={["ENGLISH"] = ""; }; };</v>
      </c>
      <c r="P140" t="str">
        <f t="shared" si="38"/>
        <v/>
      </c>
      <c r="Q140" t="str">
        <f t="shared" si="39"/>
        <v>[1]=0x70063364;</v>
      </c>
      <c r="R140" t="str">
        <f t="shared" si="40"/>
        <v/>
      </c>
      <c r="S140" t="str">
        <f t="shared" si="41"/>
        <v>[2]={["SPRING_FESTIVAL"]=18;};</v>
      </c>
      <c r="T140" t="str">
        <f t="shared" si="42"/>
        <v>["SPRING_FESTIVAL"]=18;</v>
      </c>
      <c r="U140" t="str">
        <f t="shared" si="43"/>
        <v/>
      </c>
      <c r="V140" t="str">
        <f t="shared" si="44"/>
        <v/>
      </c>
      <c r="W140" t="str">
        <f t="shared" si="45"/>
        <v/>
      </c>
      <c r="X140" t="str">
        <f t="shared" si="46"/>
        <v/>
      </c>
      <c r="Y140" t="str">
        <f t="shared" si="47"/>
        <v/>
      </c>
    </row>
    <row r="141" spans="3:25" x14ac:dyDescent="0.25">
      <c r="C141" t="s">
        <v>211</v>
      </c>
      <c r="D141" s="1" t="s">
        <v>233</v>
      </c>
      <c r="F141">
        <v>13</v>
      </c>
      <c r="M141" t="str">
        <f t="shared" si="35"/>
        <v>[140]={[2]={["SPRING_FESTIVAL"]=13;};[1]=0x7006338D;}; --Arnorian Entryway</v>
      </c>
      <c r="N141" t="str">
        <f t="shared" si="36"/>
        <v>[140]={[1]="DIVIDER1"; [2]={["ENGLISH"] = ""; }; };</v>
      </c>
      <c r="O141" t="str">
        <f t="shared" si="37"/>
        <v>[140]={[1]="DIVIDER2"; [2]={["ENGLISH"] = ""; }; };</v>
      </c>
      <c r="P141" t="str">
        <f t="shared" si="38"/>
        <v/>
      </c>
      <c r="Q141" t="str">
        <f t="shared" si="39"/>
        <v>[1]=0x7006338D;</v>
      </c>
      <c r="R141" t="str">
        <f t="shared" si="40"/>
        <v/>
      </c>
      <c r="S141" t="str">
        <f t="shared" si="41"/>
        <v>[2]={["SPRING_FESTIVAL"]=13;};</v>
      </c>
      <c r="T141" t="str">
        <f t="shared" si="42"/>
        <v>["SPRING_FESTIVAL"]=13;</v>
      </c>
      <c r="U141" t="str">
        <f t="shared" si="43"/>
        <v/>
      </c>
      <c r="V141" t="str">
        <f t="shared" si="44"/>
        <v/>
      </c>
      <c r="W141" t="str">
        <f t="shared" si="45"/>
        <v/>
      </c>
      <c r="X141" t="str">
        <f t="shared" si="46"/>
        <v/>
      </c>
      <c r="Y141" t="str">
        <f t="shared" si="47"/>
        <v/>
      </c>
    </row>
    <row r="142" spans="3:25" x14ac:dyDescent="0.25">
      <c r="C142" t="s">
        <v>212</v>
      </c>
      <c r="D142" s="1" t="s">
        <v>234</v>
      </c>
      <c r="F142">
        <v>18</v>
      </c>
      <c r="M142" t="str">
        <f t="shared" si="35"/>
        <v>[141]={[2]={["SPRING_FESTIVAL"]=18;};[1]=0x7005A3EC;}; --Gammer's Cozy Hobbit Bed</v>
      </c>
      <c r="N142" t="str">
        <f t="shared" si="36"/>
        <v>[141]={[1]="DIVIDER1"; [2]={["ENGLISH"] = ""; }; };</v>
      </c>
      <c r="O142" t="str">
        <f t="shared" si="37"/>
        <v>[141]={[1]="DIVIDER2"; [2]={["ENGLISH"] = ""; }; };</v>
      </c>
      <c r="P142" t="str">
        <f t="shared" si="38"/>
        <v/>
      </c>
      <c r="Q142" t="str">
        <f t="shared" si="39"/>
        <v>[1]=0x7005A3EC;</v>
      </c>
      <c r="R142" t="str">
        <f t="shared" si="40"/>
        <v/>
      </c>
      <c r="S142" t="str">
        <f t="shared" si="41"/>
        <v>[2]={["SPRING_FESTIVAL"]=18;};</v>
      </c>
      <c r="T142" t="str">
        <f t="shared" si="42"/>
        <v>["SPRING_FESTIVAL"]=18;</v>
      </c>
      <c r="U142" t="str">
        <f t="shared" si="43"/>
        <v/>
      </c>
      <c r="V142" t="str">
        <f t="shared" si="44"/>
        <v/>
      </c>
      <c r="W142" t="str">
        <f t="shared" si="45"/>
        <v/>
      </c>
      <c r="X142" t="str">
        <f t="shared" si="46"/>
        <v/>
      </c>
      <c r="Y142" t="str">
        <f t="shared" si="47"/>
        <v/>
      </c>
    </row>
    <row r="143" spans="3:25" x14ac:dyDescent="0.25">
      <c r="C143" t="s">
        <v>213</v>
      </c>
      <c r="D143" s="1" t="s">
        <v>235</v>
      </c>
      <c r="F143">
        <v>13</v>
      </c>
      <c r="M143" t="str">
        <f t="shared" si="35"/>
        <v>[142]={[2]={["SPRING_FESTIVAL"]=13;};[1]=0x7005A3F3;}; --Gammer's Coffee Table</v>
      </c>
      <c r="N143" t="str">
        <f t="shared" si="36"/>
        <v>[142]={[1]="DIVIDER1"; [2]={["ENGLISH"] = ""; }; };</v>
      </c>
      <c r="O143" t="str">
        <f t="shared" si="37"/>
        <v>[142]={[1]="DIVIDER2"; [2]={["ENGLISH"] = ""; }; };</v>
      </c>
      <c r="P143" t="str">
        <f t="shared" si="38"/>
        <v/>
      </c>
      <c r="Q143" t="str">
        <f t="shared" si="39"/>
        <v>[1]=0x7005A3F3;</v>
      </c>
      <c r="R143" t="str">
        <f t="shared" si="40"/>
        <v/>
      </c>
      <c r="S143" t="str">
        <f t="shared" si="41"/>
        <v>[2]={["SPRING_FESTIVAL"]=13;};</v>
      </c>
      <c r="T143" t="str">
        <f t="shared" si="42"/>
        <v>["SPRING_FESTIVAL"]=13;</v>
      </c>
      <c r="U143" t="str">
        <f t="shared" si="43"/>
        <v/>
      </c>
      <c r="V143" t="str">
        <f t="shared" si="44"/>
        <v/>
      </c>
      <c r="W143" t="str">
        <f t="shared" si="45"/>
        <v/>
      </c>
      <c r="X143" t="str">
        <f t="shared" si="46"/>
        <v/>
      </c>
      <c r="Y143" t="str">
        <f t="shared" si="47"/>
        <v/>
      </c>
    </row>
    <row r="144" spans="3:25" x14ac:dyDescent="0.25">
      <c r="C144" t="s">
        <v>214</v>
      </c>
      <c r="D144" s="1" t="s">
        <v>236</v>
      </c>
      <c r="F144">
        <v>8</v>
      </c>
      <c r="M144" t="str">
        <f t="shared" si="35"/>
        <v>[143]={[2]={["SPRING_FESTIVAL"]=8;};[1]=0x7005A3EE;}; --Gammer's Tall Trinket Stand</v>
      </c>
      <c r="N144" t="str">
        <f t="shared" si="36"/>
        <v>[143]={[1]="DIVIDER1"; [2]={["ENGLISH"] = ""; }; };</v>
      </c>
      <c r="O144" t="str">
        <f t="shared" si="37"/>
        <v>[143]={[1]="DIVIDER2"; [2]={["ENGLISH"] = ""; }; };</v>
      </c>
      <c r="P144" t="str">
        <f t="shared" si="38"/>
        <v/>
      </c>
      <c r="Q144" t="str">
        <f t="shared" si="39"/>
        <v>[1]=0x7005A3EE;</v>
      </c>
      <c r="R144" t="str">
        <f t="shared" si="40"/>
        <v/>
      </c>
      <c r="S144" t="str">
        <f t="shared" si="41"/>
        <v>[2]={["SPRING_FESTIVAL"]=8;};</v>
      </c>
      <c r="T144" t="str">
        <f t="shared" si="42"/>
        <v>["SPRING_FESTIVAL"]=8;</v>
      </c>
      <c r="U144" t="str">
        <f t="shared" si="43"/>
        <v/>
      </c>
      <c r="V144" t="str">
        <f t="shared" si="44"/>
        <v/>
      </c>
      <c r="W144" t="str">
        <f t="shared" si="45"/>
        <v/>
      </c>
      <c r="X144" t="str">
        <f t="shared" si="46"/>
        <v/>
      </c>
      <c r="Y144" t="str">
        <f t="shared" si="47"/>
        <v/>
      </c>
    </row>
    <row r="145" spans="2:25" x14ac:dyDescent="0.25">
      <c r="C145" t="s">
        <v>215</v>
      </c>
      <c r="D145" s="1" t="s">
        <v>50</v>
      </c>
      <c r="F145">
        <v>13</v>
      </c>
      <c r="M145" t="str">
        <f t="shared" si="35"/>
        <v>[144]={[2]={["SPRING_FESTIVAL"]=13;};[1]=0x70019478;}; --Elf Hedge Sculpture</v>
      </c>
      <c r="N145" t="str">
        <f t="shared" si="36"/>
        <v>[144]={[1]="DIVIDER1"; [2]={["ENGLISH"] = ""; }; };</v>
      </c>
      <c r="O145" t="str">
        <f t="shared" si="37"/>
        <v>[144]={[1]="DIVIDER2"; [2]={["ENGLISH"] = ""; }; };</v>
      </c>
      <c r="P145" t="str">
        <f t="shared" si="38"/>
        <v/>
      </c>
      <c r="Q145" t="str">
        <f t="shared" si="39"/>
        <v>[1]=0x70019478;</v>
      </c>
      <c r="R145" t="str">
        <f t="shared" si="40"/>
        <v/>
      </c>
      <c r="S145" t="str">
        <f t="shared" si="41"/>
        <v>[2]={["SPRING_FESTIVAL"]=13;};</v>
      </c>
      <c r="T145" t="str">
        <f t="shared" si="42"/>
        <v>["SPRING_FESTIVAL"]=13;</v>
      </c>
      <c r="U145" t="str">
        <f t="shared" si="43"/>
        <v/>
      </c>
      <c r="V145" t="str">
        <f t="shared" si="44"/>
        <v/>
      </c>
      <c r="W145" t="str">
        <f t="shared" si="45"/>
        <v/>
      </c>
      <c r="X145" t="str">
        <f t="shared" si="46"/>
        <v/>
      </c>
      <c r="Y145" t="str">
        <f t="shared" si="47"/>
        <v/>
      </c>
    </row>
    <row r="146" spans="2:25" x14ac:dyDescent="0.25">
      <c r="C146" t="s">
        <v>216</v>
      </c>
      <c r="D146" s="1" t="s">
        <v>51</v>
      </c>
      <c r="F146">
        <v>13</v>
      </c>
      <c r="M146" t="str">
        <f t="shared" si="35"/>
        <v>[145]={[2]={["SPRING_FESTIVAL"]=13;};[1]=0x7001947E;}; --Dwarf Hedge Sculpture</v>
      </c>
      <c r="N146" t="str">
        <f t="shared" si="36"/>
        <v>[145]={[1]="DIVIDER1"; [2]={["ENGLISH"] = ""; }; };</v>
      </c>
      <c r="O146" t="str">
        <f t="shared" si="37"/>
        <v>[145]={[1]="DIVIDER2"; [2]={["ENGLISH"] = ""; }; };</v>
      </c>
      <c r="P146" t="str">
        <f t="shared" si="38"/>
        <v/>
      </c>
      <c r="Q146" t="str">
        <f t="shared" si="39"/>
        <v>[1]=0x7001947E;</v>
      </c>
      <c r="R146" t="str">
        <f t="shared" si="40"/>
        <v/>
      </c>
      <c r="S146" t="str">
        <f t="shared" si="41"/>
        <v>[2]={["SPRING_FESTIVAL"]=13;};</v>
      </c>
      <c r="T146" t="str">
        <f t="shared" si="42"/>
        <v>["SPRING_FESTIVAL"]=13;</v>
      </c>
      <c r="U146" t="str">
        <f t="shared" si="43"/>
        <v/>
      </c>
      <c r="V146" t="str">
        <f t="shared" si="44"/>
        <v/>
      </c>
      <c r="W146" t="str">
        <f t="shared" si="45"/>
        <v/>
      </c>
      <c r="X146" t="str">
        <f t="shared" si="46"/>
        <v/>
      </c>
      <c r="Y146" t="str">
        <f t="shared" si="47"/>
        <v/>
      </c>
    </row>
    <row r="147" spans="2:25" x14ac:dyDescent="0.25">
      <c r="C147" t="s">
        <v>217</v>
      </c>
      <c r="D147" s="1" t="s">
        <v>52</v>
      </c>
      <c r="F147">
        <v>13</v>
      </c>
      <c r="M147" t="str">
        <f t="shared" si="35"/>
        <v>[146]={[2]={["SPRING_FESTIVAL"]=13;};[1]=0x7001947D;}; --Hobbit Hedge Sculpture</v>
      </c>
      <c r="N147" t="str">
        <f t="shared" si="36"/>
        <v>[146]={[1]="DIVIDER1"; [2]={["ENGLISH"] = ""; }; };</v>
      </c>
      <c r="O147" t="str">
        <f t="shared" si="37"/>
        <v>[146]={[1]="DIVIDER2"; [2]={["ENGLISH"] = ""; }; };</v>
      </c>
      <c r="P147" t="str">
        <f t="shared" si="38"/>
        <v/>
      </c>
      <c r="Q147" t="str">
        <f t="shared" si="39"/>
        <v>[1]=0x7001947D;</v>
      </c>
      <c r="R147" t="str">
        <f t="shared" si="40"/>
        <v/>
      </c>
      <c r="S147" t="str">
        <f t="shared" si="41"/>
        <v>[2]={["SPRING_FESTIVAL"]=13;};</v>
      </c>
      <c r="T147" t="str">
        <f t="shared" si="42"/>
        <v>["SPRING_FESTIVAL"]=13;</v>
      </c>
      <c r="U147" t="str">
        <f t="shared" si="43"/>
        <v/>
      </c>
      <c r="V147" t="str">
        <f t="shared" si="44"/>
        <v/>
      </c>
      <c r="W147" t="str">
        <f t="shared" si="45"/>
        <v/>
      </c>
      <c r="X147" t="str">
        <f t="shared" si="46"/>
        <v/>
      </c>
      <c r="Y147" t="str">
        <f t="shared" si="47"/>
        <v/>
      </c>
    </row>
    <row r="148" spans="2:25" x14ac:dyDescent="0.25">
      <c r="C148" t="s">
        <v>218</v>
      </c>
      <c r="D148" s="1" t="s">
        <v>53</v>
      </c>
      <c r="F148">
        <v>13</v>
      </c>
      <c r="M148" t="str">
        <f t="shared" si="35"/>
        <v>[147]={[2]={["SPRING_FESTIVAL"]=13;};[1]=0x7001947A;}; --Garden Boar Sculpture</v>
      </c>
      <c r="N148" t="str">
        <f t="shared" si="36"/>
        <v>[147]={[1]="DIVIDER1"; [2]={["ENGLISH"] = ""; }; };</v>
      </c>
      <c r="O148" t="str">
        <f t="shared" si="37"/>
        <v>[147]={[1]="DIVIDER2"; [2]={["ENGLISH"] = ""; }; };</v>
      </c>
      <c r="P148" t="str">
        <f t="shared" si="38"/>
        <v/>
      </c>
      <c r="Q148" t="str">
        <f t="shared" si="39"/>
        <v>[1]=0x7001947A;</v>
      </c>
      <c r="R148" t="str">
        <f t="shared" si="40"/>
        <v/>
      </c>
      <c r="S148" t="str">
        <f t="shared" si="41"/>
        <v>[2]={["SPRING_FESTIVAL"]=13;};</v>
      </c>
      <c r="T148" t="str">
        <f t="shared" si="42"/>
        <v>["SPRING_FESTIVAL"]=13;</v>
      </c>
      <c r="U148" t="str">
        <f t="shared" si="43"/>
        <v/>
      </c>
      <c r="V148" t="str">
        <f t="shared" si="44"/>
        <v/>
      </c>
      <c r="W148" t="str">
        <f t="shared" si="45"/>
        <v/>
      </c>
      <c r="X148" t="str">
        <f t="shared" si="46"/>
        <v/>
      </c>
      <c r="Y148" t="str">
        <f t="shared" si="47"/>
        <v/>
      </c>
    </row>
    <row r="149" spans="2:25" x14ac:dyDescent="0.25">
      <c r="B149" t="s">
        <v>237</v>
      </c>
      <c r="M149" t="str">
        <f t="shared" si="35"/>
        <v>[148]={[1]="DIVIDER2"; [2]={["ENGLISH"] = "Housing Items 2"; }; };</v>
      </c>
      <c r="N149" t="str">
        <f t="shared" si="36"/>
        <v>[148]={[1]="DIVIDER1"; [2]={["ENGLISH"] = ""; }; };</v>
      </c>
      <c r="O149" t="str">
        <f t="shared" si="37"/>
        <v>[148]={[1]="DIVIDER2"; [2]={["ENGLISH"] = "Housing Items 2"; }; };</v>
      </c>
      <c r="P149" t="str">
        <f t="shared" si="38"/>
        <v/>
      </c>
      <c r="Q149" t="str">
        <f t="shared" si="39"/>
        <v>[1]=;</v>
      </c>
      <c r="R149" t="str">
        <f t="shared" si="40"/>
        <v/>
      </c>
      <c r="S149" t="str">
        <f t="shared" si="41"/>
        <v>[2]={};</v>
      </c>
      <c r="T149" t="str">
        <f t="shared" si="42"/>
        <v/>
      </c>
      <c r="U149" t="str">
        <f t="shared" si="43"/>
        <v/>
      </c>
      <c r="V149" t="str">
        <f t="shared" si="44"/>
        <v/>
      </c>
      <c r="W149" t="str">
        <f t="shared" si="45"/>
        <v/>
      </c>
      <c r="X149" t="str">
        <f t="shared" si="46"/>
        <v/>
      </c>
      <c r="Y149" t="str">
        <f t="shared" si="47"/>
        <v/>
      </c>
    </row>
    <row r="150" spans="2:25" x14ac:dyDescent="0.25">
      <c r="C150" t="s">
        <v>238</v>
      </c>
      <c r="D150" s="1" t="s">
        <v>256</v>
      </c>
      <c r="F150">
        <v>40</v>
      </c>
      <c r="M150" t="str">
        <f t="shared" si="35"/>
        <v>[149]={[2]={["SPRING_FESTIVAL"]=40;};[1]=0x70057392;}; --Shrewmouse House</v>
      </c>
      <c r="N150" t="str">
        <f t="shared" si="36"/>
        <v>[149]={[1]="DIVIDER1"; [2]={["ENGLISH"] = ""; }; };</v>
      </c>
      <c r="O150" t="str">
        <f t="shared" si="37"/>
        <v>[149]={[1]="DIVIDER2"; [2]={["ENGLISH"] = ""; }; };</v>
      </c>
      <c r="P150" t="str">
        <f t="shared" si="38"/>
        <v/>
      </c>
      <c r="Q150" t="str">
        <f t="shared" si="39"/>
        <v>[1]=0x70057392;</v>
      </c>
      <c r="R150" t="str">
        <f t="shared" si="40"/>
        <v/>
      </c>
      <c r="S150" t="str">
        <f t="shared" si="41"/>
        <v>[2]={["SPRING_FESTIVAL"]=40;};</v>
      </c>
      <c r="T150" t="str">
        <f t="shared" si="42"/>
        <v>["SPRING_FESTIVAL"]=40;</v>
      </c>
      <c r="U150" t="str">
        <f t="shared" si="43"/>
        <v/>
      </c>
      <c r="V150" t="str">
        <f t="shared" si="44"/>
        <v/>
      </c>
      <c r="W150" t="str">
        <f t="shared" si="45"/>
        <v/>
      </c>
      <c r="X150" t="str">
        <f t="shared" si="46"/>
        <v/>
      </c>
      <c r="Y150" t="str">
        <f t="shared" si="47"/>
        <v/>
      </c>
    </row>
    <row r="151" spans="2:25" x14ac:dyDescent="0.25">
      <c r="C151" t="s">
        <v>239</v>
      </c>
      <c r="D151" s="1" t="s">
        <v>257</v>
      </c>
      <c r="F151">
        <v>13</v>
      </c>
      <c r="M151" t="str">
        <f t="shared" si="35"/>
        <v>[150]={[2]={["SPRING_FESTIVAL"]=13;};[1]=0x7005A419;}; --Elegant Green Burning Sconce</v>
      </c>
      <c r="N151" t="str">
        <f t="shared" si="36"/>
        <v>[150]={[1]="DIVIDER1"; [2]={["ENGLISH"] = ""; }; };</v>
      </c>
      <c r="O151" t="str">
        <f t="shared" si="37"/>
        <v>[150]={[1]="DIVIDER2"; [2]={["ENGLISH"] = ""; }; };</v>
      </c>
      <c r="P151" t="str">
        <f t="shared" si="38"/>
        <v/>
      </c>
      <c r="Q151" t="str">
        <f t="shared" si="39"/>
        <v>[1]=0x7005A419;</v>
      </c>
      <c r="R151" t="str">
        <f t="shared" si="40"/>
        <v/>
      </c>
      <c r="S151" t="str">
        <f t="shared" si="41"/>
        <v>[2]={["SPRING_FESTIVAL"]=13;};</v>
      </c>
      <c r="T151" t="str">
        <f t="shared" si="42"/>
        <v>["SPRING_FESTIVAL"]=13;</v>
      </c>
      <c r="U151" t="str">
        <f t="shared" si="43"/>
        <v/>
      </c>
      <c r="V151" t="str">
        <f t="shared" si="44"/>
        <v/>
      </c>
      <c r="W151" t="str">
        <f t="shared" si="45"/>
        <v/>
      </c>
      <c r="X151" t="str">
        <f t="shared" si="46"/>
        <v/>
      </c>
      <c r="Y151" t="str">
        <f t="shared" si="47"/>
        <v/>
      </c>
    </row>
    <row r="152" spans="2:25" x14ac:dyDescent="0.25">
      <c r="C152" t="s">
        <v>5</v>
      </c>
      <c r="D152" s="1" t="s">
        <v>54</v>
      </c>
      <c r="F152">
        <v>13</v>
      </c>
      <c r="M152" t="str">
        <f t="shared" si="35"/>
        <v>[151]={[2]={["SPRING_FESTIVAL"]=13;};[1]=0x70019476;}; --Garden-dwarf</v>
      </c>
      <c r="N152" t="str">
        <f t="shared" si="36"/>
        <v>[151]={[1]="DIVIDER1"; [2]={["ENGLISH"] = ""; }; };</v>
      </c>
      <c r="O152" t="str">
        <f t="shared" si="37"/>
        <v>[151]={[1]="DIVIDER2"; [2]={["ENGLISH"] = ""; }; };</v>
      </c>
      <c r="P152" t="str">
        <f t="shared" si="38"/>
        <v/>
      </c>
      <c r="Q152" t="str">
        <f t="shared" si="39"/>
        <v>[1]=0x70019476;</v>
      </c>
      <c r="R152" t="str">
        <f t="shared" si="40"/>
        <v/>
      </c>
      <c r="S152" t="str">
        <f t="shared" si="41"/>
        <v>[2]={["SPRING_FESTIVAL"]=13;};</v>
      </c>
      <c r="T152" t="str">
        <f t="shared" si="42"/>
        <v>["SPRING_FESTIVAL"]=13;</v>
      </c>
      <c r="U152" t="str">
        <f t="shared" si="43"/>
        <v/>
      </c>
      <c r="V152" t="str">
        <f t="shared" si="44"/>
        <v/>
      </c>
      <c r="W152" t="str">
        <f t="shared" si="45"/>
        <v/>
      </c>
      <c r="X152" t="str">
        <f t="shared" si="46"/>
        <v/>
      </c>
      <c r="Y152" t="str">
        <f t="shared" si="47"/>
        <v/>
      </c>
    </row>
    <row r="153" spans="2:25" x14ac:dyDescent="0.25">
      <c r="C153" t="s">
        <v>240</v>
      </c>
      <c r="D153" s="1" t="s">
        <v>55</v>
      </c>
      <c r="F153">
        <v>13</v>
      </c>
      <c r="M153" t="str">
        <f t="shared" si="35"/>
        <v>[152]={[2]={["SPRING_FESTIVAL"]=13;};[1]=0x70021382;}; --Majestic Shrew Statue</v>
      </c>
      <c r="N153" t="str">
        <f t="shared" si="36"/>
        <v>[152]={[1]="DIVIDER1"; [2]={["ENGLISH"] = ""; }; };</v>
      </c>
      <c r="O153" t="str">
        <f t="shared" si="37"/>
        <v>[152]={[1]="DIVIDER2"; [2]={["ENGLISH"] = ""; }; };</v>
      </c>
      <c r="P153" t="str">
        <f t="shared" si="38"/>
        <v/>
      </c>
      <c r="Q153" t="str">
        <f t="shared" si="39"/>
        <v>[1]=0x70021382;</v>
      </c>
      <c r="R153" t="str">
        <f t="shared" si="40"/>
        <v/>
      </c>
      <c r="S153" t="str">
        <f t="shared" si="41"/>
        <v>[2]={["SPRING_FESTIVAL"]=13;};</v>
      </c>
      <c r="T153" t="str">
        <f t="shared" si="42"/>
        <v>["SPRING_FESTIVAL"]=13;</v>
      </c>
      <c r="U153" t="str">
        <f t="shared" si="43"/>
        <v/>
      </c>
      <c r="V153" t="str">
        <f t="shared" si="44"/>
        <v/>
      </c>
      <c r="W153" t="str">
        <f t="shared" si="45"/>
        <v/>
      </c>
      <c r="X153" t="str">
        <f t="shared" si="46"/>
        <v/>
      </c>
      <c r="Y153" t="str">
        <f t="shared" si="47"/>
        <v/>
      </c>
    </row>
    <row r="154" spans="2:25" x14ac:dyDescent="0.25">
      <c r="C154" t="s">
        <v>241</v>
      </c>
      <c r="D154" s="1" t="s">
        <v>56</v>
      </c>
      <c r="F154">
        <v>13</v>
      </c>
      <c r="M154" t="str">
        <f t="shared" si="35"/>
        <v>[153]={[2]={["SPRING_FESTIVAL"]=13;};[1]=0x70019477;}; --Spring Festival Theme</v>
      </c>
      <c r="N154" t="str">
        <f t="shared" si="36"/>
        <v>[153]={[1]="DIVIDER1"; [2]={["ENGLISH"] = ""; }; };</v>
      </c>
      <c r="O154" t="str">
        <f t="shared" si="37"/>
        <v>[153]={[1]="DIVIDER2"; [2]={["ENGLISH"] = ""; }; };</v>
      </c>
      <c r="P154" t="str">
        <f t="shared" si="38"/>
        <v/>
      </c>
      <c r="Q154" t="str">
        <f t="shared" si="39"/>
        <v>[1]=0x70019477;</v>
      </c>
      <c r="R154" t="str">
        <f t="shared" si="40"/>
        <v/>
      </c>
      <c r="S154" t="str">
        <f t="shared" si="41"/>
        <v>[2]={["SPRING_FESTIVAL"]=13;};</v>
      </c>
      <c r="T154" t="str">
        <f t="shared" si="42"/>
        <v>["SPRING_FESTIVAL"]=13;</v>
      </c>
      <c r="U154" t="str">
        <f t="shared" si="43"/>
        <v/>
      </c>
      <c r="V154" t="str">
        <f t="shared" si="44"/>
        <v/>
      </c>
      <c r="W154" t="str">
        <f t="shared" si="45"/>
        <v/>
      </c>
      <c r="X154" t="str">
        <f t="shared" si="46"/>
        <v/>
      </c>
      <c r="Y154" t="str">
        <f t="shared" si="47"/>
        <v/>
      </c>
    </row>
    <row r="155" spans="2:25" x14ac:dyDescent="0.25">
      <c r="C155" t="s">
        <v>242</v>
      </c>
      <c r="D155" s="1" t="s">
        <v>57</v>
      </c>
      <c r="F155">
        <v>13</v>
      </c>
      <c r="M155" t="str">
        <f t="shared" si="35"/>
        <v>[154]={[2]={["SPRING_FESTIVAL"]=13;};[1]=0x70019A34;}; --Clover Table</v>
      </c>
      <c r="N155" t="str">
        <f t="shared" si="36"/>
        <v>[154]={[1]="DIVIDER1"; [2]={["ENGLISH"] = ""; }; };</v>
      </c>
      <c r="O155" t="str">
        <f t="shared" si="37"/>
        <v>[154]={[1]="DIVIDER2"; [2]={["ENGLISH"] = ""; }; };</v>
      </c>
      <c r="P155" t="str">
        <f t="shared" si="38"/>
        <v/>
      </c>
      <c r="Q155" t="str">
        <f t="shared" si="39"/>
        <v>[1]=0x70019A34;</v>
      </c>
      <c r="R155" t="str">
        <f t="shared" si="40"/>
        <v/>
      </c>
      <c r="S155" t="str">
        <f t="shared" si="41"/>
        <v>[2]={["SPRING_FESTIVAL"]=13;};</v>
      </c>
      <c r="T155" t="str">
        <f t="shared" si="42"/>
        <v>["SPRING_FESTIVAL"]=13;</v>
      </c>
      <c r="U155" t="str">
        <f t="shared" si="43"/>
        <v/>
      </c>
      <c r="V155" t="str">
        <f t="shared" si="44"/>
        <v/>
      </c>
      <c r="W155" t="str">
        <f t="shared" si="45"/>
        <v/>
      </c>
      <c r="X155" t="str">
        <f t="shared" si="46"/>
        <v/>
      </c>
      <c r="Y155" t="str">
        <f t="shared" si="47"/>
        <v/>
      </c>
    </row>
    <row r="156" spans="2:25" x14ac:dyDescent="0.25">
      <c r="C156" t="s">
        <v>243</v>
      </c>
      <c r="D156" s="1" t="s">
        <v>58</v>
      </c>
      <c r="F156">
        <v>13</v>
      </c>
      <c r="M156" t="str">
        <f t="shared" si="35"/>
        <v>[155]={[2]={["SPRING_FESTIVAL"]=13;};[1]=0x70020D80;}; --Moria Keg</v>
      </c>
      <c r="N156" t="str">
        <f t="shared" si="36"/>
        <v>[155]={[1]="DIVIDER1"; [2]={["ENGLISH"] = ""; }; };</v>
      </c>
      <c r="O156" t="str">
        <f t="shared" si="37"/>
        <v>[155]={[1]="DIVIDER2"; [2]={["ENGLISH"] = ""; }; };</v>
      </c>
      <c r="P156" t="str">
        <f t="shared" si="38"/>
        <v/>
      </c>
      <c r="Q156" t="str">
        <f t="shared" si="39"/>
        <v>[1]=0x70020D80;</v>
      </c>
      <c r="R156" t="str">
        <f t="shared" si="40"/>
        <v/>
      </c>
      <c r="S156" t="str">
        <f t="shared" si="41"/>
        <v>[2]={["SPRING_FESTIVAL"]=13;};</v>
      </c>
      <c r="T156" t="str">
        <f t="shared" si="42"/>
        <v>["SPRING_FESTIVAL"]=13;</v>
      </c>
      <c r="U156" t="str">
        <f t="shared" si="43"/>
        <v/>
      </c>
      <c r="V156" t="str">
        <f t="shared" si="44"/>
        <v/>
      </c>
      <c r="W156" t="str">
        <f t="shared" si="45"/>
        <v/>
      </c>
      <c r="X156" t="str">
        <f t="shared" si="46"/>
        <v/>
      </c>
      <c r="Y156" t="str">
        <f t="shared" si="47"/>
        <v/>
      </c>
    </row>
    <row r="157" spans="2:25" x14ac:dyDescent="0.25">
      <c r="C157" t="s">
        <v>244</v>
      </c>
      <c r="D157" s="1" t="s">
        <v>59</v>
      </c>
      <c r="F157">
        <v>13</v>
      </c>
      <c r="M157" t="str">
        <f t="shared" si="35"/>
        <v>[156]={[2]={["SPRING_FESTIVAL"]=13;};[1]=0x7001ABC0;}; --Clover Stool</v>
      </c>
      <c r="N157" t="str">
        <f t="shared" si="36"/>
        <v>[156]={[1]="DIVIDER1"; [2]={["ENGLISH"] = ""; }; };</v>
      </c>
      <c r="O157" t="str">
        <f t="shared" si="37"/>
        <v>[156]={[1]="DIVIDER2"; [2]={["ENGLISH"] = ""; }; };</v>
      </c>
      <c r="P157" t="str">
        <f t="shared" si="38"/>
        <v/>
      </c>
      <c r="Q157" t="str">
        <f t="shared" si="39"/>
        <v>[1]=0x7001ABC0;</v>
      </c>
      <c r="R157" t="str">
        <f t="shared" si="40"/>
        <v/>
      </c>
      <c r="S157" t="str">
        <f t="shared" si="41"/>
        <v>[2]={["SPRING_FESTIVAL"]=13;};</v>
      </c>
      <c r="T157" t="str">
        <f t="shared" si="42"/>
        <v>["SPRING_FESTIVAL"]=13;</v>
      </c>
      <c r="U157" t="str">
        <f t="shared" si="43"/>
        <v/>
      </c>
      <c r="V157" t="str">
        <f t="shared" si="44"/>
        <v/>
      </c>
      <c r="W157" t="str">
        <f t="shared" si="45"/>
        <v/>
      </c>
      <c r="X157" t="str">
        <f t="shared" si="46"/>
        <v/>
      </c>
      <c r="Y157" t="str">
        <f t="shared" si="47"/>
        <v/>
      </c>
    </row>
    <row r="158" spans="2:25" x14ac:dyDescent="0.25">
      <c r="C158" t="s">
        <v>245</v>
      </c>
      <c r="D158" s="1" t="s">
        <v>60</v>
      </c>
      <c r="F158">
        <v>13</v>
      </c>
      <c r="M158" t="str">
        <f t="shared" si="35"/>
        <v>[157]={[2]={["SPRING_FESTIVAL"]=13;};[1]=0x70021383;}; --Fine Portrait of a Shrew</v>
      </c>
      <c r="N158" t="str">
        <f t="shared" si="36"/>
        <v>[157]={[1]="DIVIDER1"; [2]={["ENGLISH"] = ""; }; };</v>
      </c>
      <c r="O158" t="str">
        <f t="shared" si="37"/>
        <v>[157]={[1]="DIVIDER2"; [2]={["ENGLISH"] = ""; }; };</v>
      </c>
      <c r="P158" t="str">
        <f t="shared" si="38"/>
        <v/>
      </c>
      <c r="Q158" t="str">
        <f t="shared" si="39"/>
        <v>[1]=0x70021383;</v>
      </c>
      <c r="R158" t="str">
        <f t="shared" si="40"/>
        <v/>
      </c>
      <c r="S158" t="str">
        <f t="shared" si="41"/>
        <v>[2]={["SPRING_FESTIVAL"]=13;};</v>
      </c>
      <c r="T158" t="str">
        <f t="shared" si="42"/>
        <v>["SPRING_FESTIVAL"]=13;</v>
      </c>
      <c r="U158" t="str">
        <f t="shared" si="43"/>
        <v/>
      </c>
      <c r="V158" t="str">
        <f t="shared" si="44"/>
        <v/>
      </c>
      <c r="W158" t="str">
        <f t="shared" si="45"/>
        <v/>
      </c>
      <c r="X158" t="str">
        <f t="shared" si="46"/>
        <v/>
      </c>
      <c r="Y158" t="str">
        <f t="shared" si="47"/>
        <v/>
      </c>
    </row>
    <row r="159" spans="2:25" x14ac:dyDescent="0.25">
      <c r="C159" t="s">
        <v>246</v>
      </c>
      <c r="D159" s="1" t="s">
        <v>258</v>
      </c>
      <c r="F159">
        <v>18</v>
      </c>
      <c r="M159" t="str">
        <f t="shared" si="35"/>
        <v>[158]={[2]={["SPRING_FESTIVAL"]=18;};[1]=0x70056CB8;}; --Hanging Pot of Lively Ivy</v>
      </c>
      <c r="N159" t="str">
        <f t="shared" si="36"/>
        <v>[158]={[1]="DIVIDER1"; [2]={["ENGLISH"] = ""; }; };</v>
      </c>
      <c r="O159" t="str">
        <f t="shared" si="37"/>
        <v>[158]={[1]="DIVIDER2"; [2]={["ENGLISH"] = ""; }; };</v>
      </c>
      <c r="P159" t="str">
        <f t="shared" si="38"/>
        <v/>
      </c>
      <c r="Q159" t="str">
        <f t="shared" si="39"/>
        <v>[1]=0x70056CB8;</v>
      </c>
      <c r="R159" t="str">
        <f t="shared" si="40"/>
        <v/>
      </c>
      <c r="S159" t="str">
        <f t="shared" si="41"/>
        <v>[2]={["SPRING_FESTIVAL"]=18;};</v>
      </c>
      <c r="T159" t="str">
        <f t="shared" si="42"/>
        <v>["SPRING_FESTIVAL"]=18;</v>
      </c>
      <c r="U159" t="str">
        <f t="shared" si="43"/>
        <v/>
      </c>
      <c r="V159" t="str">
        <f t="shared" si="44"/>
        <v/>
      </c>
      <c r="W159" t="str">
        <f t="shared" si="45"/>
        <v/>
      </c>
      <c r="X159" t="str">
        <f t="shared" si="46"/>
        <v/>
      </c>
      <c r="Y159" t="str">
        <f t="shared" si="47"/>
        <v/>
      </c>
    </row>
    <row r="160" spans="2:25" x14ac:dyDescent="0.25">
      <c r="C160" t="s">
        <v>247</v>
      </c>
      <c r="D160" s="1" t="s">
        <v>259</v>
      </c>
      <c r="F160">
        <v>18</v>
      </c>
      <c r="M160" t="str">
        <f t="shared" si="35"/>
        <v>[159]={[2]={["SPRING_FESTIVAL"]=18;};[1]=0x70056CBA;}; --Hanging Pot of Verdant Ivy</v>
      </c>
      <c r="N160" t="str">
        <f t="shared" si="36"/>
        <v>[159]={[1]="DIVIDER1"; [2]={["ENGLISH"] = ""; }; };</v>
      </c>
      <c r="O160" t="str">
        <f t="shared" si="37"/>
        <v>[159]={[1]="DIVIDER2"; [2]={["ENGLISH"] = ""; }; };</v>
      </c>
      <c r="P160" t="str">
        <f t="shared" si="38"/>
        <v/>
      </c>
      <c r="Q160" t="str">
        <f t="shared" si="39"/>
        <v>[1]=0x70056CBA;</v>
      </c>
      <c r="R160" t="str">
        <f t="shared" si="40"/>
        <v/>
      </c>
      <c r="S160" t="str">
        <f t="shared" si="41"/>
        <v>[2]={["SPRING_FESTIVAL"]=18;};</v>
      </c>
      <c r="T160" t="str">
        <f t="shared" si="42"/>
        <v>["SPRING_FESTIVAL"]=18;</v>
      </c>
      <c r="U160" t="str">
        <f t="shared" si="43"/>
        <v/>
      </c>
      <c r="V160" t="str">
        <f t="shared" si="44"/>
        <v/>
      </c>
      <c r="W160" t="str">
        <f t="shared" si="45"/>
        <v/>
      </c>
      <c r="X160" t="str">
        <f t="shared" si="46"/>
        <v/>
      </c>
      <c r="Y160" t="str">
        <f t="shared" si="47"/>
        <v/>
      </c>
    </row>
    <row r="161" spans="2:25" x14ac:dyDescent="0.25">
      <c r="C161" t="s">
        <v>248</v>
      </c>
      <c r="D161" s="1" t="s">
        <v>260</v>
      </c>
      <c r="F161">
        <v>18</v>
      </c>
      <c r="M161" t="str">
        <f t="shared" si="35"/>
        <v>[160]={[2]={["SPRING_FESTIVAL"]=18;};[1]=0x70056CB7;}; --Tiered Planter of Verdant Ivy</v>
      </c>
      <c r="N161" t="str">
        <f t="shared" si="36"/>
        <v>[160]={[1]="DIVIDER1"; [2]={["ENGLISH"] = ""; }; };</v>
      </c>
      <c r="O161" t="str">
        <f t="shared" si="37"/>
        <v>[160]={[1]="DIVIDER2"; [2]={["ENGLISH"] = ""; }; };</v>
      </c>
      <c r="P161" t="str">
        <f t="shared" si="38"/>
        <v/>
      </c>
      <c r="Q161" t="str">
        <f t="shared" si="39"/>
        <v>[1]=0x70056CB7;</v>
      </c>
      <c r="R161" t="str">
        <f t="shared" si="40"/>
        <v/>
      </c>
      <c r="S161" t="str">
        <f t="shared" si="41"/>
        <v>[2]={["SPRING_FESTIVAL"]=18;};</v>
      </c>
      <c r="T161" t="str">
        <f t="shared" si="42"/>
        <v>["SPRING_FESTIVAL"]=18;</v>
      </c>
      <c r="U161" t="str">
        <f t="shared" si="43"/>
        <v/>
      </c>
      <c r="V161" t="str">
        <f t="shared" si="44"/>
        <v/>
      </c>
      <c r="W161" t="str">
        <f t="shared" si="45"/>
        <v/>
      </c>
      <c r="X161" t="str">
        <f t="shared" si="46"/>
        <v/>
      </c>
      <c r="Y161" t="str">
        <f t="shared" si="47"/>
        <v/>
      </c>
    </row>
    <row r="162" spans="2:25" x14ac:dyDescent="0.25">
      <c r="C162" t="s">
        <v>249</v>
      </c>
      <c r="D162" s="1" t="s">
        <v>261</v>
      </c>
      <c r="F162">
        <v>18</v>
      </c>
      <c r="M162" t="str">
        <f t="shared" si="35"/>
        <v>[161]={[2]={["SPRING_FESTIVAL"]=18;};[1]=0x70056CB9;}; --Tiered Planter of Lively Ivy</v>
      </c>
      <c r="N162" t="str">
        <f t="shared" si="36"/>
        <v>[161]={[1]="DIVIDER1"; [2]={["ENGLISH"] = ""; }; };</v>
      </c>
      <c r="O162" t="str">
        <f t="shared" si="37"/>
        <v>[161]={[1]="DIVIDER2"; [2]={["ENGLISH"] = ""; }; };</v>
      </c>
      <c r="P162" t="str">
        <f t="shared" si="38"/>
        <v/>
      </c>
      <c r="Q162" t="str">
        <f t="shared" si="39"/>
        <v>[1]=0x70056CB9;</v>
      </c>
      <c r="R162" t="str">
        <f t="shared" si="40"/>
        <v/>
      </c>
      <c r="S162" t="str">
        <f t="shared" si="41"/>
        <v>[2]={["SPRING_FESTIVAL"]=18;};</v>
      </c>
      <c r="T162" t="str">
        <f t="shared" si="42"/>
        <v>["SPRING_FESTIVAL"]=18;</v>
      </c>
      <c r="U162" t="str">
        <f t="shared" si="43"/>
        <v/>
      </c>
      <c r="V162" t="str">
        <f t="shared" si="44"/>
        <v/>
      </c>
      <c r="W162" t="str">
        <f t="shared" si="45"/>
        <v/>
      </c>
      <c r="X162" t="str">
        <f t="shared" si="46"/>
        <v/>
      </c>
      <c r="Y162" t="str">
        <f t="shared" si="47"/>
        <v/>
      </c>
    </row>
    <row r="163" spans="2:25" x14ac:dyDescent="0.25">
      <c r="C163" t="s">
        <v>250</v>
      </c>
      <c r="D163" s="1" t="s">
        <v>46</v>
      </c>
      <c r="F163">
        <v>8</v>
      </c>
      <c r="M163" t="str">
        <f t="shared" si="35"/>
        <v>[162]={[2]={["SPRING_FESTIVAL"]=8;};[1]=0x700266B5;}; --Map of the Old Forest</v>
      </c>
      <c r="N163" t="str">
        <f t="shared" si="36"/>
        <v>[162]={[1]="DIVIDER1"; [2]={["ENGLISH"] = ""; }; };</v>
      </c>
      <c r="O163" t="str">
        <f t="shared" si="37"/>
        <v>[162]={[1]="DIVIDER2"; [2]={["ENGLISH"] = ""; }; };</v>
      </c>
      <c r="P163" t="str">
        <f t="shared" si="38"/>
        <v/>
      </c>
      <c r="Q163" t="str">
        <f t="shared" si="39"/>
        <v>[1]=0x700266B5;</v>
      </c>
      <c r="R163" t="str">
        <f t="shared" si="40"/>
        <v/>
      </c>
      <c r="S163" t="str">
        <f t="shared" si="41"/>
        <v>[2]={["SPRING_FESTIVAL"]=8;};</v>
      </c>
      <c r="T163" t="str">
        <f t="shared" si="42"/>
        <v>["SPRING_FESTIVAL"]=8;</v>
      </c>
      <c r="U163" t="str">
        <f t="shared" si="43"/>
        <v/>
      </c>
      <c r="V163" t="str">
        <f t="shared" si="44"/>
        <v/>
      </c>
      <c r="W163" t="str">
        <f t="shared" si="45"/>
        <v/>
      </c>
      <c r="X163" t="str">
        <f t="shared" si="46"/>
        <v/>
      </c>
      <c r="Y163" t="str">
        <f t="shared" si="47"/>
        <v/>
      </c>
    </row>
    <row r="164" spans="2:25" x14ac:dyDescent="0.25">
      <c r="C164" t="s">
        <v>251</v>
      </c>
      <c r="D164" s="1" t="s">
        <v>47</v>
      </c>
      <c r="F164">
        <v>8</v>
      </c>
      <c r="M164" t="str">
        <f t="shared" si="35"/>
        <v>[163]={[2]={["SPRING_FESTIVAL"]=8;};[1]=0x700266B9;}; --Map of Archet</v>
      </c>
      <c r="N164" t="str">
        <f t="shared" si="36"/>
        <v>[163]={[1]="DIVIDER1"; [2]={["ENGLISH"] = ""; }; };</v>
      </c>
      <c r="O164" t="str">
        <f t="shared" si="37"/>
        <v>[163]={[1]="DIVIDER2"; [2]={["ENGLISH"] = ""; }; };</v>
      </c>
      <c r="P164" t="str">
        <f t="shared" si="38"/>
        <v/>
      </c>
      <c r="Q164" t="str">
        <f t="shared" si="39"/>
        <v>[1]=0x700266B9;</v>
      </c>
      <c r="R164" t="str">
        <f t="shared" si="40"/>
        <v/>
      </c>
      <c r="S164" t="str">
        <f t="shared" si="41"/>
        <v>[2]={["SPRING_FESTIVAL"]=8;};</v>
      </c>
      <c r="T164" t="str">
        <f t="shared" si="42"/>
        <v>["SPRING_FESTIVAL"]=8;</v>
      </c>
      <c r="U164" t="str">
        <f t="shared" si="43"/>
        <v/>
      </c>
      <c r="V164" t="str">
        <f t="shared" si="44"/>
        <v/>
      </c>
      <c r="W164" t="str">
        <f t="shared" si="45"/>
        <v/>
      </c>
      <c r="X164" t="str">
        <f t="shared" si="46"/>
        <v/>
      </c>
      <c r="Y164" t="str">
        <f t="shared" si="47"/>
        <v/>
      </c>
    </row>
    <row r="165" spans="2:25" x14ac:dyDescent="0.25">
      <c r="C165" t="s">
        <v>252</v>
      </c>
      <c r="D165" s="1" t="s">
        <v>48</v>
      </c>
      <c r="F165">
        <v>8</v>
      </c>
      <c r="M165" t="str">
        <f t="shared" si="35"/>
        <v>[164]={[2]={["SPRING_FESTIVAL"]=8;};[1]=0x700266B3;}; --Map of Bree-town</v>
      </c>
      <c r="N165" t="str">
        <f t="shared" si="36"/>
        <v>[164]={[1]="DIVIDER1"; [2]={["ENGLISH"] = ""; }; };</v>
      </c>
      <c r="O165" t="str">
        <f t="shared" si="37"/>
        <v>[164]={[1]="DIVIDER2"; [2]={["ENGLISH"] = ""; }; };</v>
      </c>
      <c r="P165" t="str">
        <f t="shared" si="38"/>
        <v/>
      </c>
      <c r="Q165" t="str">
        <f t="shared" si="39"/>
        <v>[1]=0x700266B3;</v>
      </c>
      <c r="R165" t="str">
        <f t="shared" si="40"/>
        <v/>
      </c>
      <c r="S165" t="str">
        <f t="shared" si="41"/>
        <v>[2]={["SPRING_FESTIVAL"]=8;};</v>
      </c>
      <c r="T165" t="str">
        <f t="shared" si="42"/>
        <v>["SPRING_FESTIVAL"]=8;</v>
      </c>
      <c r="U165" t="str">
        <f t="shared" si="43"/>
        <v/>
      </c>
      <c r="V165" t="str">
        <f t="shared" si="44"/>
        <v/>
      </c>
      <c r="W165" t="str">
        <f t="shared" si="45"/>
        <v/>
      </c>
      <c r="X165" t="str">
        <f t="shared" si="46"/>
        <v/>
      </c>
      <c r="Y165" t="str">
        <f t="shared" si="47"/>
        <v/>
      </c>
    </row>
    <row r="166" spans="2:25" x14ac:dyDescent="0.25">
      <c r="C166" t="s">
        <v>4</v>
      </c>
      <c r="D166" s="1" t="s">
        <v>49</v>
      </c>
      <c r="F166">
        <v>8</v>
      </c>
      <c r="M166" t="str">
        <f t="shared" si="35"/>
        <v>[165]={[2]={["SPRING_FESTIVAL"]=8;};[1]=0x700266C2;}; --Map of Annúminas</v>
      </c>
      <c r="N166" t="str">
        <f t="shared" si="36"/>
        <v>[165]={[1]="DIVIDER1"; [2]={["ENGLISH"] = ""; }; };</v>
      </c>
      <c r="O166" t="str">
        <f t="shared" si="37"/>
        <v>[165]={[1]="DIVIDER2"; [2]={["ENGLISH"] = ""; }; };</v>
      </c>
      <c r="P166" t="str">
        <f t="shared" si="38"/>
        <v/>
      </c>
      <c r="Q166" t="str">
        <f t="shared" si="39"/>
        <v>[1]=0x700266C2;</v>
      </c>
      <c r="R166" t="str">
        <f t="shared" si="40"/>
        <v/>
      </c>
      <c r="S166" t="str">
        <f t="shared" si="41"/>
        <v>[2]={["SPRING_FESTIVAL"]=8;};</v>
      </c>
      <c r="T166" t="str">
        <f t="shared" si="42"/>
        <v>["SPRING_FESTIVAL"]=8;</v>
      </c>
      <c r="U166" t="str">
        <f t="shared" si="43"/>
        <v/>
      </c>
      <c r="V166" t="str">
        <f t="shared" si="44"/>
        <v/>
      </c>
      <c r="W166" t="str">
        <f t="shared" si="45"/>
        <v/>
      </c>
      <c r="X166" t="str">
        <f t="shared" si="46"/>
        <v/>
      </c>
      <c r="Y166" t="str">
        <f t="shared" si="47"/>
        <v/>
      </c>
    </row>
    <row r="167" spans="2:25" x14ac:dyDescent="0.25">
      <c r="C167" t="s">
        <v>253</v>
      </c>
      <c r="D167" s="1" t="s">
        <v>262</v>
      </c>
      <c r="F167">
        <v>18</v>
      </c>
      <c r="M167" t="str">
        <f t="shared" si="35"/>
        <v>[166]={[2]={["SPRING_FESTIVAL"]=18;};[1]=0x700568AC;}; --Glittering Stone Floor</v>
      </c>
      <c r="N167" t="str">
        <f t="shared" si="36"/>
        <v>[166]={[1]="DIVIDER1"; [2]={["ENGLISH"] = ""; }; };</v>
      </c>
      <c r="O167" t="str">
        <f t="shared" si="37"/>
        <v>[166]={[1]="DIVIDER2"; [2]={["ENGLISH"] = ""; }; };</v>
      </c>
      <c r="P167" t="str">
        <f t="shared" si="38"/>
        <v/>
      </c>
      <c r="Q167" t="str">
        <f t="shared" si="39"/>
        <v>[1]=0x700568AC;</v>
      </c>
      <c r="R167" t="str">
        <f t="shared" si="40"/>
        <v/>
      </c>
      <c r="S167" t="str">
        <f t="shared" si="41"/>
        <v>[2]={["SPRING_FESTIVAL"]=18;};</v>
      </c>
      <c r="T167" t="str">
        <f t="shared" si="42"/>
        <v>["SPRING_FESTIVAL"]=18;</v>
      </c>
      <c r="U167" t="str">
        <f t="shared" si="43"/>
        <v/>
      </c>
      <c r="V167" t="str">
        <f t="shared" si="44"/>
        <v/>
      </c>
      <c r="W167" t="str">
        <f t="shared" si="45"/>
        <v/>
      </c>
      <c r="X167" t="str">
        <f t="shared" si="46"/>
        <v/>
      </c>
      <c r="Y167" t="str">
        <f t="shared" si="47"/>
        <v/>
      </c>
    </row>
    <row r="168" spans="2:25" x14ac:dyDescent="0.25">
      <c r="C168" t="s">
        <v>254</v>
      </c>
      <c r="D168" s="1" t="s">
        <v>263</v>
      </c>
      <c r="F168">
        <v>18</v>
      </c>
      <c r="M168" t="str">
        <f t="shared" si="35"/>
        <v>[167]={[2]={["SPRING_FESTIVAL"]=18;};[1]=0x700568A2;}; --Intricate Flagstone Floor</v>
      </c>
      <c r="N168" t="str">
        <f t="shared" si="36"/>
        <v>[167]={[1]="DIVIDER1"; [2]={["ENGLISH"] = ""; }; };</v>
      </c>
      <c r="O168" t="str">
        <f t="shared" si="37"/>
        <v>[167]={[1]="DIVIDER2"; [2]={["ENGLISH"] = ""; }; };</v>
      </c>
      <c r="P168" t="str">
        <f t="shared" si="38"/>
        <v/>
      </c>
      <c r="Q168" t="str">
        <f t="shared" si="39"/>
        <v>[1]=0x700568A2;</v>
      </c>
      <c r="R168" t="str">
        <f t="shared" si="40"/>
        <v/>
      </c>
      <c r="S168" t="str">
        <f t="shared" si="41"/>
        <v>[2]={["SPRING_FESTIVAL"]=18;};</v>
      </c>
      <c r="T168" t="str">
        <f t="shared" si="42"/>
        <v>["SPRING_FESTIVAL"]=18;</v>
      </c>
      <c r="U168" t="str">
        <f t="shared" si="43"/>
        <v/>
      </c>
      <c r="V168" t="str">
        <f t="shared" si="44"/>
        <v/>
      </c>
      <c r="W168" t="str">
        <f t="shared" si="45"/>
        <v/>
      </c>
      <c r="X168" t="str">
        <f t="shared" si="46"/>
        <v/>
      </c>
      <c r="Y168" t="str">
        <f t="shared" si="47"/>
        <v/>
      </c>
    </row>
    <row r="169" spans="2:25" x14ac:dyDescent="0.25">
      <c r="C169" t="s">
        <v>255</v>
      </c>
      <c r="D169" s="1" t="s">
        <v>264</v>
      </c>
      <c r="F169">
        <v>18</v>
      </c>
      <c r="M169" t="str">
        <f t="shared" si="35"/>
        <v>[168]={[2]={["SPRING_FESTIVAL"]=18;};[1]=0x70062679;}; --Decorative Glittering Stone Floor</v>
      </c>
      <c r="N169" t="str">
        <f t="shared" si="36"/>
        <v>[168]={[1]="DIVIDER1"; [2]={["ENGLISH"] = ""; }; };</v>
      </c>
      <c r="O169" t="str">
        <f t="shared" si="37"/>
        <v>[168]={[1]="DIVIDER2"; [2]={["ENGLISH"] = ""; }; };</v>
      </c>
      <c r="P169" t="str">
        <f t="shared" si="38"/>
        <v/>
      </c>
      <c r="Q169" t="str">
        <f t="shared" si="39"/>
        <v>[1]=0x70062679;</v>
      </c>
      <c r="R169" t="str">
        <f t="shared" si="40"/>
        <v/>
      </c>
      <c r="S169" t="str">
        <f t="shared" si="41"/>
        <v>[2]={["SPRING_FESTIVAL"]=18;};</v>
      </c>
      <c r="T169" t="str">
        <f t="shared" si="42"/>
        <v>["SPRING_FESTIVAL"]=18;</v>
      </c>
      <c r="U169" t="str">
        <f t="shared" si="43"/>
        <v/>
      </c>
      <c r="V169" t="str">
        <f t="shared" si="44"/>
        <v/>
      </c>
      <c r="W169" t="str">
        <f t="shared" si="45"/>
        <v/>
      </c>
      <c r="X169" t="str">
        <f t="shared" si="46"/>
        <v/>
      </c>
      <c r="Y169" t="str">
        <f t="shared" si="47"/>
        <v/>
      </c>
    </row>
    <row r="170" spans="2:25" x14ac:dyDescent="0.25">
      <c r="B170" t="s">
        <v>192</v>
      </c>
      <c r="M170" t="str">
        <f t="shared" si="35"/>
        <v>[169]={[1]="DIVIDER2"; [2]={["ENGLISH"] = "Recipes"; }; };</v>
      </c>
      <c r="N170" t="str">
        <f t="shared" si="36"/>
        <v>[169]={[1]="DIVIDER1"; [2]={["ENGLISH"] = ""; }; };</v>
      </c>
      <c r="O170" t="str">
        <f t="shared" si="37"/>
        <v>[169]={[1]="DIVIDER2"; [2]={["ENGLISH"] = "Recipes"; }; };</v>
      </c>
      <c r="P170" t="str">
        <f t="shared" si="38"/>
        <v/>
      </c>
      <c r="Q170" t="str">
        <f t="shared" si="39"/>
        <v>[1]=;</v>
      </c>
      <c r="R170" t="str">
        <f t="shared" si="40"/>
        <v/>
      </c>
      <c r="S170" t="str">
        <f t="shared" si="41"/>
        <v>[2]={};</v>
      </c>
      <c r="T170" t="str">
        <f t="shared" si="42"/>
        <v/>
      </c>
      <c r="U170" t="str">
        <f t="shared" si="43"/>
        <v/>
      </c>
      <c r="V170" t="str">
        <f t="shared" si="44"/>
        <v/>
      </c>
      <c r="W170" t="str">
        <f t="shared" si="45"/>
        <v/>
      </c>
      <c r="X170" t="str">
        <f t="shared" si="46"/>
        <v/>
      </c>
      <c r="Y170" t="str">
        <f t="shared" si="47"/>
        <v/>
      </c>
    </row>
    <row r="171" spans="2:25" x14ac:dyDescent="0.25">
      <c r="C171" t="s">
        <v>198</v>
      </c>
      <c r="D171" s="1" t="s">
        <v>40</v>
      </c>
      <c r="F171">
        <v>15</v>
      </c>
      <c r="M171" t="str">
        <f t="shared" si="35"/>
        <v>[170]={[2]={["SPRING_FESTIVAL"]=15;};[1]=0x70036346;}; --Strawberry-rhubarb Tart Recipe</v>
      </c>
      <c r="N171" t="str">
        <f t="shared" si="36"/>
        <v>[170]={[1]="DIVIDER1"; [2]={["ENGLISH"] = ""; }; };</v>
      </c>
      <c r="O171" t="str">
        <f t="shared" si="37"/>
        <v>[170]={[1]="DIVIDER2"; [2]={["ENGLISH"] = ""; }; };</v>
      </c>
      <c r="P171" t="str">
        <f t="shared" si="38"/>
        <v/>
      </c>
      <c r="Q171" t="str">
        <f t="shared" si="39"/>
        <v>[1]=0x70036346;</v>
      </c>
      <c r="R171" t="str">
        <f t="shared" si="40"/>
        <v/>
      </c>
      <c r="S171" t="str">
        <f t="shared" si="41"/>
        <v>[2]={["SPRING_FESTIVAL"]=15;};</v>
      </c>
      <c r="T171" t="str">
        <f t="shared" si="42"/>
        <v>["SPRING_FESTIVAL"]=15;</v>
      </c>
      <c r="U171" t="str">
        <f t="shared" si="43"/>
        <v/>
      </c>
      <c r="V171" t="str">
        <f t="shared" si="44"/>
        <v/>
      </c>
      <c r="W171" t="str">
        <f t="shared" si="45"/>
        <v/>
      </c>
      <c r="X171" t="str">
        <f t="shared" si="46"/>
        <v/>
      </c>
      <c r="Y171" t="str">
        <f t="shared" si="47"/>
        <v/>
      </c>
    </row>
    <row r="172" spans="2:25" x14ac:dyDescent="0.25">
      <c r="C172" t="s">
        <v>193</v>
      </c>
      <c r="D172" s="1" t="s">
        <v>41</v>
      </c>
      <c r="F172">
        <v>15</v>
      </c>
      <c r="M172" t="str">
        <f t="shared" si="35"/>
        <v>[171]={[2]={["SPRING_FESTIVAL"]=15;};[1]=0x70036347;}; --Bilberry Tart Recipe</v>
      </c>
      <c r="N172" t="str">
        <f t="shared" si="36"/>
        <v>[171]={[1]="DIVIDER1"; [2]={["ENGLISH"] = ""; }; };</v>
      </c>
      <c r="O172" t="str">
        <f t="shared" si="37"/>
        <v>[171]={[1]="DIVIDER2"; [2]={["ENGLISH"] = ""; }; };</v>
      </c>
      <c r="P172" t="str">
        <f t="shared" si="38"/>
        <v/>
      </c>
      <c r="Q172" t="str">
        <f t="shared" si="39"/>
        <v>[1]=0x70036347;</v>
      </c>
      <c r="R172" t="str">
        <f t="shared" si="40"/>
        <v/>
      </c>
      <c r="S172" t="str">
        <f t="shared" si="41"/>
        <v>[2]={["SPRING_FESTIVAL"]=15;};</v>
      </c>
      <c r="T172" t="str">
        <f t="shared" si="42"/>
        <v>["SPRING_FESTIVAL"]=15;</v>
      </c>
      <c r="U172" t="str">
        <f t="shared" si="43"/>
        <v/>
      </c>
      <c r="V172" t="str">
        <f t="shared" si="44"/>
        <v/>
      </c>
      <c r="W172" t="str">
        <f t="shared" si="45"/>
        <v/>
      </c>
      <c r="X172" t="str">
        <f t="shared" si="46"/>
        <v/>
      </c>
      <c r="Y172" t="str">
        <f t="shared" si="47"/>
        <v/>
      </c>
    </row>
    <row r="173" spans="2:25" x14ac:dyDescent="0.25">
      <c r="C173" t="s">
        <v>194</v>
      </c>
      <c r="D173" s="1" t="s">
        <v>42</v>
      </c>
      <c r="F173">
        <v>15</v>
      </c>
      <c r="M173" t="str">
        <f t="shared" si="35"/>
        <v>[172]={[2]={["SPRING_FESTIVAL"]=15;};[1]=0x70036355;}; --Cherry Tart Recipe</v>
      </c>
      <c r="N173" t="str">
        <f t="shared" si="36"/>
        <v>[172]={[1]="DIVIDER1"; [2]={["ENGLISH"] = ""; }; };</v>
      </c>
      <c r="O173" t="str">
        <f t="shared" si="37"/>
        <v>[172]={[1]="DIVIDER2"; [2]={["ENGLISH"] = ""; }; };</v>
      </c>
      <c r="P173" t="str">
        <f t="shared" si="38"/>
        <v/>
      </c>
      <c r="Q173" t="str">
        <f t="shared" si="39"/>
        <v>[1]=0x70036355;</v>
      </c>
      <c r="R173" t="str">
        <f t="shared" si="40"/>
        <v/>
      </c>
      <c r="S173" t="str">
        <f t="shared" si="41"/>
        <v>[2]={["SPRING_FESTIVAL"]=15;};</v>
      </c>
      <c r="T173" t="str">
        <f t="shared" si="42"/>
        <v>["SPRING_FESTIVAL"]=15;</v>
      </c>
      <c r="U173" t="str">
        <f t="shared" si="43"/>
        <v/>
      </c>
      <c r="V173" t="str">
        <f t="shared" si="44"/>
        <v/>
      </c>
      <c r="W173" t="str">
        <f t="shared" si="45"/>
        <v/>
      </c>
      <c r="X173" t="str">
        <f t="shared" si="46"/>
        <v/>
      </c>
      <c r="Y173" t="str">
        <f t="shared" si="47"/>
        <v/>
      </c>
    </row>
    <row r="174" spans="2:25" x14ac:dyDescent="0.25">
      <c r="C174" t="s">
        <v>195</v>
      </c>
      <c r="D174" s="1" t="s">
        <v>43</v>
      </c>
      <c r="F174">
        <v>8</v>
      </c>
      <c r="M174" t="str">
        <f t="shared" si="35"/>
        <v>[173]={[2]={["SPRING_FESTIVAL"]=8;};[1]=0x700194B9;}; --Potted Lily-of-the-Valley Recipe</v>
      </c>
      <c r="N174" t="str">
        <f t="shared" si="36"/>
        <v>[173]={[1]="DIVIDER1"; [2]={["ENGLISH"] = ""; }; };</v>
      </c>
      <c r="O174" t="str">
        <f t="shared" si="37"/>
        <v>[173]={[1]="DIVIDER2"; [2]={["ENGLISH"] = ""; }; };</v>
      </c>
      <c r="P174" t="str">
        <f t="shared" si="38"/>
        <v/>
      </c>
      <c r="Q174" t="str">
        <f t="shared" si="39"/>
        <v>[1]=0x700194B9;</v>
      </c>
      <c r="R174" t="str">
        <f t="shared" si="40"/>
        <v/>
      </c>
      <c r="S174" t="str">
        <f t="shared" si="41"/>
        <v>[2]={["SPRING_FESTIVAL"]=8;};</v>
      </c>
      <c r="T174" t="str">
        <f t="shared" si="42"/>
        <v>["SPRING_FESTIVAL"]=8;</v>
      </c>
      <c r="U174" t="str">
        <f t="shared" si="43"/>
        <v/>
      </c>
      <c r="V174" t="str">
        <f t="shared" si="44"/>
        <v/>
      </c>
      <c r="W174" t="str">
        <f t="shared" si="45"/>
        <v/>
      </c>
      <c r="X174" t="str">
        <f t="shared" si="46"/>
        <v/>
      </c>
      <c r="Y174" t="str">
        <f t="shared" si="47"/>
        <v/>
      </c>
    </row>
    <row r="175" spans="2:25" x14ac:dyDescent="0.25">
      <c r="C175" t="s">
        <v>196</v>
      </c>
      <c r="D175" s="1" t="s">
        <v>44</v>
      </c>
      <c r="F175">
        <v>8</v>
      </c>
      <c r="M175" t="str">
        <f t="shared" si="35"/>
        <v>[174]={[2]={["SPRING_FESTIVAL"]=8;};[1]=0x700194BA;}; --Potted Iris Recipe</v>
      </c>
      <c r="N175" t="str">
        <f t="shared" si="36"/>
        <v>[174]={[1]="DIVIDER1"; [2]={["ENGLISH"] = ""; }; };</v>
      </c>
      <c r="O175" t="str">
        <f t="shared" si="37"/>
        <v>[174]={[1]="DIVIDER2"; [2]={["ENGLISH"] = ""; }; };</v>
      </c>
      <c r="P175" t="str">
        <f t="shared" si="38"/>
        <v/>
      </c>
      <c r="Q175" t="str">
        <f t="shared" si="39"/>
        <v>[1]=0x700194BA;</v>
      </c>
      <c r="R175" t="str">
        <f t="shared" si="40"/>
        <v/>
      </c>
      <c r="S175" t="str">
        <f t="shared" si="41"/>
        <v>[2]={["SPRING_FESTIVAL"]=8;};</v>
      </c>
      <c r="T175" t="str">
        <f t="shared" si="42"/>
        <v>["SPRING_FESTIVAL"]=8;</v>
      </c>
      <c r="U175" t="str">
        <f t="shared" si="43"/>
        <v/>
      </c>
      <c r="V175" t="str">
        <f t="shared" si="44"/>
        <v/>
      </c>
      <c r="W175" t="str">
        <f t="shared" si="45"/>
        <v/>
      </c>
      <c r="X175" t="str">
        <f t="shared" si="46"/>
        <v/>
      </c>
      <c r="Y175" t="str">
        <f t="shared" si="47"/>
        <v/>
      </c>
    </row>
    <row r="176" spans="2:25" x14ac:dyDescent="0.25">
      <c r="C176" t="s">
        <v>197</v>
      </c>
      <c r="D176" s="1" t="s">
        <v>45</v>
      </c>
      <c r="F176">
        <v>8</v>
      </c>
      <c r="M176" t="str">
        <f t="shared" si="35"/>
        <v>[175]={[2]={["SPRING_FESTIVAL"]=8;};[1]=0x700194BE;}; --Potted Bluebottle Recipe</v>
      </c>
      <c r="N176" t="str">
        <f t="shared" si="36"/>
        <v>[175]={[1]="DIVIDER1"; [2]={["ENGLISH"] = ""; }; };</v>
      </c>
      <c r="O176" t="str">
        <f t="shared" si="37"/>
        <v>[175]={[1]="DIVIDER2"; [2]={["ENGLISH"] = ""; }; };</v>
      </c>
      <c r="P176" t="str">
        <f t="shared" si="38"/>
        <v/>
      </c>
      <c r="Q176" t="str">
        <f t="shared" si="39"/>
        <v>[1]=0x700194BE;</v>
      </c>
      <c r="R176" t="str">
        <f t="shared" si="40"/>
        <v/>
      </c>
      <c r="S176" t="str">
        <f t="shared" si="41"/>
        <v>[2]={["SPRING_FESTIVAL"]=8;};</v>
      </c>
      <c r="T176" t="str">
        <f t="shared" si="42"/>
        <v>["SPRING_FESTIVAL"]=8;</v>
      </c>
      <c r="U176" t="str">
        <f t="shared" si="43"/>
        <v/>
      </c>
      <c r="V176" t="str">
        <f t="shared" si="44"/>
        <v/>
      </c>
      <c r="W176" t="str">
        <f t="shared" si="45"/>
        <v/>
      </c>
      <c r="X176" t="str">
        <f t="shared" si="46"/>
        <v/>
      </c>
      <c r="Y176" t="str">
        <f t="shared" si="47"/>
        <v/>
      </c>
    </row>
    <row r="177" spans="2:25" x14ac:dyDescent="0.25">
      <c r="B177" t="s">
        <v>265</v>
      </c>
      <c r="M177" t="str">
        <f t="shared" si="35"/>
        <v>[176]={[1]="DIVIDER2"; [2]={["ENGLISH"] = "Other"; }; };</v>
      </c>
      <c r="N177" t="str">
        <f t="shared" si="36"/>
        <v>[176]={[1]="DIVIDER1"; [2]={["ENGLISH"] = ""; }; };</v>
      </c>
      <c r="O177" t="str">
        <f t="shared" si="37"/>
        <v>[176]={[1]="DIVIDER2"; [2]={["ENGLISH"] = "Other"; }; };</v>
      </c>
      <c r="P177" t="str">
        <f t="shared" si="38"/>
        <v/>
      </c>
      <c r="Q177" t="str">
        <f t="shared" si="39"/>
        <v>[1]=;</v>
      </c>
      <c r="R177" t="str">
        <f t="shared" si="40"/>
        <v/>
      </c>
      <c r="S177" t="str">
        <f t="shared" si="41"/>
        <v>[2]={};</v>
      </c>
      <c r="T177" t="str">
        <f t="shared" si="42"/>
        <v/>
      </c>
      <c r="U177" t="str">
        <f t="shared" si="43"/>
        <v/>
      </c>
      <c r="V177" t="str">
        <f t="shared" si="44"/>
        <v/>
      </c>
      <c r="W177" t="str">
        <f t="shared" si="45"/>
        <v/>
      </c>
      <c r="X177" t="str">
        <f t="shared" si="46"/>
        <v/>
      </c>
      <c r="Y177" t="str">
        <f t="shared" si="47"/>
        <v/>
      </c>
    </row>
    <row r="178" spans="2:25" x14ac:dyDescent="0.25">
      <c r="C178" t="s">
        <v>270</v>
      </c>
      <c r="D178" s="1" t="s">
        <v>61</v>
      </c>
      <c r="E178">
        <v>5</v>
      </c>
      <c r="F178">
        <v>2</v>
      </c>
      <c r="M178" t="str">
        <f t="shared" si="35"/>
        <v>[177]={[3]=5;[2]={["SPRING_FESTIVAL"]=2;};[1]=0x7002D485;}; --Pile of Mysterious Powder</v>
      </c>
      <c r="N178" t="str">
        <f t="shared" si="36"/>
        <v>[177]={[1]="DIVIDER1"; [2]={["ENGLISH"] = ""; }; };</v>
      </c>
      <c r="O178" t="str">
        <f t="shared" si="37"/>
        <v>[177]={[1]="DIVIDER2"; [2]={["ENGLISH"] = ""; }; };</v>
      </c>
      <c r="P178" t="str">
        <f t="shared" si="38"/>
        <v/>
      </c>
      <c r="Q178" t="str">
        <f t="shared" si="39"/>
        <v>[1]=0x7002D485;</v>
      </c>
      <c r="R178" t="str">
        <f t="shared" si="40"/>
        <v>[3]=5;</v>
      </c>
      <c r="S178" t="str">
        <f t="shared" si="41"/>
        <v>[2]={["SPRING_FESTIVAL"]=2;};</v>
      </c>
      <c r="T178" t="str">
        <f t="shared" si="42"/>
        <v>["SPRING_FESTIVAL"]=2;</v>
      </c>
      <c r="U178" t="str">
        <f t="shared" si="43"/>
        <v/>
      </c>
      <c r="V178" t="str">
        <f t="shared" si="44"/>
        <v/>
      </c>
      <c r="W178" t="str">
        <f t="shared" si="45"/>
        <v/>
      </c>
      <c r="X178" t="str">
        <f t="shared" si="46"/>
        <v/>
      </c>
      <c r="Y178" t="str">
        <f t="shared" si="47"/>
        <v/>
      </c>
    </row>
    <row r="179" spans="2:25" x14ac:dyDescent="0.25">
      <c r="C179" t="s">
        <v>266</v>
      </c>
      <c r="D179" s="1" t="s">
        <v>62</v>
      </c>
      <c r="E179">
        <v>5</v>
      </c>
      <c r="F179">
        <v>3</v>
      </c>
      <c r="M179" t="str">
        <f t="shared" si="35"/>
        <v>[178]={[3]=5;[2]={["SPRING_FESTIVAL"]=3;};[1]=0x70020E69;}; --D.R.A.G.O.N.</v>
      </c>
      <c r="N179" t="str">
        <f t="shared" si="36"/>
        <v>[178]={[1]="DIVIDER1"; [2]={["ENGLISH"] = ""; }; };</v>
      </c>
      <c r="O179" t="str">
        <f t="shared" si="37"/>
        <v>[178]={[1]="DIVIDER2"; [2]={["ENGLISH"] = ""; }; };</v>
      </c>
      <c r="P179" t="str">
        <f t="shared" si="38"/>
        <v/>
      </c>
      <c r="Q179" t="str">
        <f t="shared" si="39"/>
        <v>[1]=0x70020E69;</v>
      </c>
      <c r="R179" t="str">
        <f t="shared" si="40"/>
        <v>[3]=5;</v>
      </c>
      <c r="S179" t="str">
        <f t="shared" si="41"/>
        <v>[2]={["SPRING_FESTIVAL"]=3;};</v>
      </c>
      <c r="T179" t="str">
        <f t="shared" si="42"/>
        <v>["SPRING_FESTIVAL"]=3;</v>
      </c>
      <c r="U179" t="str">
        <f t="shared" si="43"/>
        <v/>
      </c>
      <c r="V179" t="str">
        <f t="shared" si="44"/>
        <v/>
      </c>
      <c r="W179" t="str">
        <f t="shared" si="45"/>
        <v/>
      </c>
      <c r="X179" t="str">
        <f t="shared" si="46"/>
        <v/>
      </c>
      <c r="Y179" t="str">
        <f t="shared" si="47"/>
        <v/>
      </c>
    </row>
    <row r="180" spans="2:25" x14ac:dyDescent="0.25">
      <c r="C180" t="s">
        <v>271</v>
      </c>
      <c r="D180" s="1" t="s">
        <v>63</v>
      </c>
      <c r="E180">
        <v>5</v>
      </c>
      <c r="F180">
        <v>3</v>
      </c>
      <c r="M180" t="str">
        <f t="shared" si="35"/>
        <v>[179]={[3]=5;[2]={["SPRING_FESTIVAL"]=3;};[1]=0x70020E78;}; --Doom-shroom</v>
      </c>
      <c r="N180" t="str">
        <f t="shared" si="36"/>
        <v>[179]={[1]="DIVIDER1"; [2]={["ENGLISH"] = ""; }; };</v>
      </c>
      <c r="O180" t="str">
        <f t="shared" si="37"/>
        <v>[179]={[1]="DIVIDER2"; [2]={["ENGLISH"] = ""; }; };</v>
      </c>
      <c r="P180" t="str">
        <f t="shared" si="38"/>
        <v/>
      </c>
      <c r="Q180" t="str">
        <f t="shared" si="39"/>
        <v>[1]=0x70020E78;</v>
      </c>
      <c r="R180" t="str">
        <f t="shared" si="40"/>
        <v>[3]=5;</v>
      </c>
      <c r="S180" t="str">
        <f t="shared" si="41"/>
        <v>[2]={["SPRING_FESTIVAL"]=3;};</v>
      </c>
      <c r="T180" t="str">
        <f t="shared" si="42"/>
        <v>["SPRING_FESTIVAL"]=3;</v>
      </c>
      <c r="U180" t="str">
        <f t="shared" si="43"/>
        <v/>
      </c>
      <c r="V180" t="str">
        <f t="shared" si="44"/>
        <v/>
      </c>
      <c r="W180" t="str">
        <f t="shared" si="45"/>
        <v/>
      </c>
      <c r="X180" t="str">
        <f t="shared" si="46"/>
        <v/>
      </c>
      <c r="Y180" t="str">
        <f t="shared" si="47"/>
        <v/>
      </c>
    </row>
    <row r="181" spans="2:25" x14ac:dyDescent="0.25">
      <c r="C181" t="s">
        <v>267</v>
      </c>
      <c r="D181" s="1" t="s">
        <v>64</v>
      </c>
      <c r="F181">
        <v>20</v>
      </c>
      <c r="M181" t="str">
        <f t="shared" si="35"/>
        <v>[180]={[2]={["SPRING_FESTIVAL"]=20;};[1]=0x70026695;}; --Sack of Petals</v>
      </c>
      <c r="N181" t="str">
        <f t="shared" si="36"/>
        <v>[180]={[1]="DIVIDER1"; [2]={["ENGLISH"] = ""; }; };</v>
      </c>
      <c r="O181" t="str">
        <f t="shared" si="37"/>
        <v>[180]={[1]="DIVIDER2"; [2]={["ENGLISH"] = ""; }; };</v>
      </c>
      <c r="P181" t="str">
        <f t="shared" si="38"/>
        <v/>
      </c>
      <c r="Q181" t="str">
        <f t="shared" si="39"/>
        <v>[1]=0x70026695;</v>
      </c>
      <c r="R181" t="str">
        <f t="shared" si="40"/>
        <v/>
      </c>
      <c r="S181" t="str">
        <f t="shared" si="41"/>
        <v>[2]={["SPRING_FESTIVAL"]=20;};</v>
      </c>
      <c r="T181" t="str">
        <f t="shared" si="42"/>
        <v>["SPRING_FESTIVAL"]=20;</v>
      </c>
      <c r="U181" t="str">
        <f t="shared" si="43"/>
        <v/>
      </c>
      <c r="V181" t="str">
        <f t="shared" si="44"/>
        <v/>
      </c>
      <c r="W181" t="str">
        <f t="shared" si="45"/>
        <v/>
      </c>
      <c r="X181" t="str">
        <f t="shared" si="46"/>
        <v/>
      </c>
      <c r="Y181" t="str">
        <f t="shared" si="47"/>
        <v/>
      </c>
    </row>
    <row r="182" spans="2:25" x14ac:dyDescent="0.25">
      <c r="C182" t="s">
        <v>272</v>
      </c>
      <c r="D182" s="1" t="s">
        <v>65</v>
      </c>
      <c r="E182">
        <v>5</v>
      </c>
      <c r="F182">
        <v>3</v>
      </c>
      <c r="M182" t="str">
        <f t="shared" si="35"/>
        <v>[181]={[3]=5;[2]={["SPRING_FESTIVAL"]=3;};[1]=0x700193C6;}; --Springfest Brew Mug</v>
      </c>
      <c r="N182" t="str">
        <f t="shared" si="36"/>
        <v>[181]={[1]="DIVIDER1"; [2]={["ENGLISH"] = ""; }; };</v>
      </c>
      <c r="O182" t="str">
        <f t="shared" si="37"/>
        <v>[181]={[1]="DIVIDER2"; [2]={["ENGLISH"] = ""; }; };</v>
      </c>
      <c r="P182" t="str">
        <f t="shared" si="38"/>
        <v/>
      </c>
      <c r="Q182" t="str">
        <f t="shared" si="39"/>
        <v>[1]=0x700193C6;</v>
      </c>
      <c r="R182" t="str">
        <f t="shared" si="40"/>
        <v>[3]=5;</v>
      </c>
      <c r="S182" t="str">
        <f t="shared" si="41"/>
        <v>[2]={["SPRING_FESTIVAL"]=3;};</v>
      </c>
      <c r="T182" t="str">
        <f t="shared" si="42"/>
        <v>["SPRING_FESTIVAL"]=3;</v>
      </c>
      <c r="U182" t="str">
        <f t="shared" si="43"/>
        <v/>
      </c>
      <c r="V182" t="str">
        <f t="shared" si="44"/>
        <v/>
      </c>
      <c r="W182" t="str">
        <f t="shared" si="45"/>
        <v/>
      </c>
      <c r="X182" t="str">
        <f t="shared" si="46"/>
        <v/>
      </c>
      <c r="Y182" t="str">
        <f t="shared" si="47"/>
        <v/>
      </c>
    </row>
    <row r="183" spans="2:25" x14ac:dyDescent="0.25">
      <c r="C183" t="s">
        <v>273</v>
      </c>
      <c r="D183" s="1" t="s">
        <v>66</v>
      </c>
      <c r="E183">
        <v>2</v>
      </c>
      <c r="F183">
        <v>3</v>
      </c>
      <c r="M183" t="str">
        <f t="shared" si="35"/>
        <v>[182]={[3]=2;[2]={["SPRING_FESTIVAL"]=3;};[1]=0x70020E58;}; --Extra Deliciously Tasty Biscuit</v>
      </c>
      <c r="N183" t="str">
        <f t="shared" si="36"/>
        <v>[182]={[1]="DIVIDER1"; [2]={["ENGLISH"] = ""; }; };</v>
      </c>
      <c r="O183" t="str">
        <f t="shared" si="37"/>
        <v>[182]={[1]="DIVIDER2"; [2]={["ENGLISH"] = ""; }; };</v>
      </c>
      <c r="P183" t="str">
        <f t="shared" si="38"/>
        <v/>
      </c>
      <c r="Q183" t="str">
        <f t="shared" si="39"/>
        <v>[1]=0x70020E58;</v>
      </c>
      <c r="R183" t="str">
        <f t="shared" si="40"/>
        <v>[3]=2;</v>
      </c>
      <c r="S183" t="str">
        <f t="shared" si="41"/>
        <v>[2]={["SPRING_FESTIVAL"]=3;};</v>
      </c>
      <c r="T183" t="str">
        <f t="shared" si="42"/>
        <v>["SPRING_FESTIVAL"]=3;</v>
      </c>
      <c r="U183" t="str">
        <f t="shared" si="43"/>
        <v/>
      </c>
      <c r="V183" t="str">
        <f t="shared" si="44"/>
        <v/>
      </c>
      <c r="W183" t="str">
        <f t="shared" si="45"/>
        <v/>
      </c>
      <c r="X183" t="str">
        <f t="shared" si="46"/>
        <v/>
      </c>
      <c r="Y183" t="str">
        <f t="shared" si="47"/>
        <v/>
      </c>
    </row>
    <row r="184" spans="2:25" x14ac:dyDescent="0.25">
      <c r="C184" t="s">
        <v>268</v>
      </c>
      <c r="D184" s="1" t="s">
        <v>67</v>
      </c>
      <c r="F184">
        <v>13</v>
      </c>
      <c r="M184" t="str">
        <f t="shared" si="35"/>
        <v>[183]={[2]={["SPRING_FESTIVAL"]=13;};[1]=0x7001980F;}; --Cold Fish</v>
      </c>
      <c r="N184" t="str">
        <f t="shared" si="36"/>
        <v>[183]={[1]="DIVIDER1"; [2]={["ENGLISH"] = ""; }; };</v>
      </c>
      <c r="O184" t="str">
        <f t="shared" si="37"/>
        <v>[183]={[1]="DIVIDER2"; [2]={["ENGLISH"] = ""; }; };</v>
      </c>
      <c r="P184" t="str">
        <f t="shared" si="38"/>
        <v/>
      </c>
      <c r="Q184" t="str">
        <f t="shared" si="39"/>
        <v>[1]=0x7001980F;</v>
      </c>
      <c r="R184" t="str">
        <f t="shared" si="40"/>
        <v/>
      </c>
      <c r="S184" t="str">
        <f t="shared" si="41"/>
        <v>[2]={["SPRING_FESTIVAL"]=13;};</v>
      </c>
      <c r="T184" t="str">
        <f t="shared" si="42"/>
        <v>["SPRING_FESTIVAL"]=13;</v>
      </c>
      <c r="U184" t="str">
        <f t="shared" si="43"/>
        <v/>
      </c>
      <c r="V184" t="str">
        <f t="shared" si="44"/>
        <v/>
      </c>
      <c r="W184" t="str">
        <f t="shared" si="45"/>
        <v/>
      </c>
      <c r="X184" t="str">
        <f t="shared" si="46"/>
        <v/>
      </c>
      <c r="Y184" t="str">
        <f t="shared" si="47"/>
        <v/>
      </c>
    </row>
    <row r="185" spans="2:25" x14ac:dyDescent="0.25">
      <c r="C185" t="s">
        <v>269</v>
      </c>
      <c r="D185" s="1" t="s">
        <v>68</v>
      </c>
      <c r="F185">
        <v>13</v>
      </c>
      <c r="M185" t="str">
        <f t="shared" si="35"/>
        <v>[184]={[2]={["SPRING_FESTIVAL"]=13;};[1]=0x700195AE;}; --Slapper Fish</v>
      </c>
      <c r="N185" t="str">
        <f t="shared" si="36"/>
        <v>[184]={[1]="DIVIDER1"; [2]={["ENGLISH"] = ""; }; };</v>
      </c>
      <c r="O185" t="str">
        <f t="shared" si="37"/>
        <v>[184]={[1]="DIVIDER2"; [2]={["ENGLISH"] = ""; }; };</v>
      </c>
      <c r="P185" t="str">
        <f t="shared" si="38"/>
        <v/>
      </c>
      <c r="Q185" t="str">
        <f t="shared" si="39"/>
        <v>[1]=0x700195AE;</v>
      </c>
      <c r="R185" t="str">
        <f t="shared" si="40"/>
        <v/>
      </c>
      <c r="S185" t="str">
        <f t="shared" si="41"/>
        <v>[2]={["SPRING_FESTIVAL"]=13;};</v>
      </c>
      <c r="T185" t="str">
        <f t="shared" si="42"/>
        <v>["SPRING_FESTIVAL"]=13;</v>
      </c>
      <c r="U185" t="str">
        <f t="shared" si="43"/>
        <v/>
      </c>
      <c r="V185" t="str">
        <f t="shared" si="44"/>
        <v/>
      </c>
      <c r="W185" t="str">
        <f t="shared" si="45"/>
        <v/>
      </c>
      <c r="X185" t="str">
        <f t="shared" si="46"/>
        <v/>
      </c>
      <c r="Y185" t="str">
        <f t="shared" si="47"/>
        <v/>
      </c>
    </row>
    <row r="186" spans="2:25" x14ac:dyDescent="0.25">
      <c r="C186" t="s">
        <v>500</v>
      </c>
      <c r="D186" s="1" t="s">
        <v>498</v>
      </c>
      <c r="F186">
        <v>30</v>
      </c>
      <c r="M186" t="str">
        <f t="shared" si="35"/>
        <v>[185]={[2]={["SPRING_FESTIVAL"]=30;};[1]=0x70074451;}; --Daffodil Green Thumb Bauble</v>
      </c>
      <c r="N186" t="str">
        <f t="shared" si="36"/>
        <v>[185]={[1]="DIVIDER1"; [2]={["ENGLISH"] = ""; }; };</v>
      </c>
      <c r="O186" t="str">
        <f t="shared" si="37"/>
        <v>[185]={[1]="DIVIDER2"; [2]={["ENGLISH"] = ""; }; };</v>
      </c>
      <c r="P186" t="str">
        <f t="shared" si="38"/>
        <v/>
      </c>
      <c r="Q186" t="str">
        <f t="shared" si="39"/>
        <v>[1]=0x70074451;</v>
      </c>
      <c r="R186" t="str">
        <f t="shared" si="40"/>
        <v/>
      </c>
      <c r="S186" t="str">
        <f t="shared" si="41"/>
        <v>[2]={["SPRING_FESTIVAL"]=30;};</v>
      </c>
      <c r="T186" t="str">
        <f t="shared" si="42"/>
        <v>["SPRING_FESTIVAL"]=30;</v>
      </c>
      <c r="U186" t="str">
        <f t="shared" si="43"/>
        <v/>
      </c>
      <c r="V186" t="str">
        <f t="shared" si="44"/>
        <v/>
      </c>
      <c r="W186" t="str">
        <f t="shared" si="45"/>
        <v/>
      </c>
      <c r="X186" t="str">
        <f t="shared" si="46"/>
        <v/>
      </c>
      <c r="Y186" t="str">
        <f t="shared" si="47"/>
        <v/>
      </c>
    </row>
    <row r="187" spans="2:25" x14ac:dyDescent="0.25">
      <c r="C187" t="s">
        <v>501</v>
      </c>
      <c r="D187" s="1" t="s">
        <v>499</v>
      </c>
      <c r="F187">
        <v>30</v>
      </c>
      <c r="M187" t="str">
        <f t="shared" si="35"/>
        <v>[186]={[2]={["SPRING_FESTIVAL"]=30;};[1]=0x70074430;}; --Stoor Dance Emote</v>
      </c>
      <c r="N187" t="str">
        <f t="shared" si="36"/>
        <v>[186]={[1]="DIVIDER1"; [2]={["ENGLISH"] = ""; }; };</v>
      </c>
      <c r="O187" t="str">
        <f t="shared" si="37"/>
        <v>[186]={[1]="DIVIDER2"; [2]={["ENGLISH"] = ""; }; };</v>
      </c>
      <c r="P187" t="str">
        <f t="shared" si="38"/>
        <v/>
      </c>
      <c r="Q187" t="str">
        <f t="shared" si="39"/>
        <v>[1]=0x70074430;</v>
      </c>
      <c r="R187" t="str">
        <f t="shared" si="40"/>
        <v/>
      </c>
      <c r="S187" t="str">
        <f t="shared" si="41"/>
        <v>[2]={["SPRING_FESTIVAL"]=30;};</v>
      </c>
      <c r="T187" t="str">
        <f t="shared" si="42"/>
        <v>["SPRING_FESTIVAL"]=30;</v>
      </c>
      <c r="U187" t="str">
        <f t="shared" si="43"/>
        <v/>
      </c>
      <c r="V187" t="str">
        <f t="shared" si="44"/>
        <v/>
      </c>
      <c r="W187" t="str">
        <f t="shared" si="45"/>
        <v/>
      </c>
      <c r="X187" t="str">
        <f t="shared" si="46"/>
        <v/>
      </c>
      <c r="Y187" t="str">
        <f t="shared" si="47"/>
        <v/>
      </c>
    </row>
    <row r="188" spans="2:25" x14ac:dyDescent="0.25">
      <c r="B188" t="s">
        <v>274</v>
      </c>
      <c r="M188" t="str">
        <f t="shared" si="35"/>
        <v>[187]={[1]="DIVIDER2"; [2]={["ENGLISH"] = "Spring Festival Steeds"; }; };</v>
      </c>
      <c r="N188" t="str">
        <f t="shared" si="36"/>
        <v>[187]={[1]="DIVIDER1"; [2]={["ENGLISH"] = ""; }; };</v>
      </c>
      <c r="O188" t="str">
        <f t="shared" si="37"/>
        <v>[187]={[1]="DIVIDER2"; [2]={["ENGLISH"] = "Spring Festival Steeds"; }; };</v>
      </c>
      <c r="P188" t="str">
        <f t="shared" si="38"/>
        <v/>
      </c>
      <c r="Q188" t="str">
        <f t="shared" si="39"/>
        <v>[1]=;</v>
      </c>
      <c r="R188" t="str">
        <f t="shared" si="40"/>
        <v/>
      </c>
      <c r="S188" t="str">
        <f t="shared" si="41"/>
        <v>[2]={};</v>
      </c>
      <c r="T188" t="str">
        <f t="shared" si="42"/>
        <v/>
      </c>
      <c r="U188" t="str">
        <f t="shared" si="43"/>
        <v/>
      </c>
      <c r="V188" t="str">
        <f t="shared" si="44"/>
        <v/>
      </c>
      <c r="W188" t="str">
        <f t="shared" si="45"/>
        <v/>
      </c>
      <c r="X188" t="str">
        <f t="shared" si="46"/>
        <v/>
      </c>
      <c r="Y188" t="str">
        <f t="shared" si="47"/>
        <v/>
      </c>
    </row>
    <row r="189" spans="2:25" x14ac:dyDescent="0.25">
      <c r="C189" t="s">
        <v>504</v>
      </c>
      <c r="D189" s="1" t="s">
        <v>502</v>
      </c>
      <c r="F189">
        <v>50</v>
      </c>
      <c r="M189" t="str">
        <f t="shared" si="35"/>
        <v>[188]={[2]={["SPRING_FESTIVAL"]=50;};[1]=0x7007442B;}; --Daffodil Celebration Goat</v>
      </c>
      <c r="N189" t="str">
        <f t="shared" si="36"/>
        <v>[188]={[1]="DIVIDER1"; [2]={["ENGLISH"] = ""; }; };</v>
      </c>
      <c r="O189" t="str">
        <f t="shared" si="37"/>
        <v>[188]={[1]="DIVIDER2"; [2]={["ENGLISH"] = ""; }; };</v>
      </c>
      <c r="P189" t="str">
        <f t="shared" si="38"/>
        <v/>
      </c>
      <c r="Q189" t="str">
        <f t="shared" si="39"/>
        <v>[1]=0x7007442B;</v>
      </c>
      <c r="R189" t="str">
        <f t="shared" si="40"/>
        <v/>
      </c>
      <c r="S189" t="str">
        <f t="shared" si="41"/>
        <v>[2]={["SPRING_FESTIVAL"]=50;};</v>
      </c>
      <c r="T189" t="str">
        <f t="shared" si="42"/>
        <v>["SPRING_FESTIVAL"]=50;</v>
      </c>
      <c r="U189" t="str">
        <f t="shared" si="43"/>
        <v/>
      </c>
      <c r="V189" t="str">
        <f t="shared" si="44"/>
        <v/>
      </c>
      <c r="W189" t="str">
        <f t="shared" si="45"/>
        <v/>
      </c>
      <c r="X189" t="str">
        <f t="shared" si="46"/>
        <v/>
      </c>
      <c r="Y189" t="str">
        <f t="shared" si="47"/>
        <v/>
      </c>
    </row>
    <row r="190" spans="2:25" x14ac:dyDescent="0.25">
      <c r="C190" t="s">
        <v>505</v>
      </c>
      <c r="D190" s="1" t="s">
        <v>503</v>
      </c>
      <c r="F190">
        <v>40</v>
      </c>
      <c r="M190" t="str">
        <f t="shared" si="35"/>
        <v>[189]={[2]={["SPRING_FESTIVAL"]=40;};[1]=0x7006ED59;}; --Goat of Budding Spring</v>
      </c>
      <c r="N190" t="str">
        <f t="shared" si="36"/>
        <v>[189]={[1]="DIVIDER1"; [2]={["ENGLISH"] = ""; }; };</v>
      </c>
      <c r="O190" t="str">
        <f t="shared" si="37"/>
        <v>[189]={[1]="DIVIDER2"; [2]={["ENGLISH"] = ""; }; };</v>
      </c>
      <c r="P190" t="str">
        <f t="shared" si="38"/>
        <v/>
      </c>
      <c r="Q190" t="str">
        <f t="shared" si="39"/>
        <v>[1]=0x7006ED59;</v>
      </c>
      <c r="R190" t="str">
        <f t="shared" si="40"/>
        <v/>
      </c>
      <c r="S190" t="str">
        <f t="shared" si="41"/>
        <v>[2]={["SPRING_FESTIVAL"]=40;};</v>
      </c>
      <c r="T190" t="str">
        <f t="shared" si="42"/>
        <v>["SPRING_FESTIVAL"]=40;</v>
      </c>
      <c r="U190" t="str">
        <f t="shared" si="43"/>
        <v/>
      </c>
      <c r="V190" t="str">
        <f t="shared" si="44"/>
        <v/>
      </c>
      <c r="W190" t="str">
        <f t="shared" si="45"/>
        <v/>
      </c>
      <c r="X190" t="str">
        <f t="shared" si="46"/>
        <v/>
      </c>
      <c r="Y190" t="str">
        <f t="shared" si="47"/>
        <v/>
      </c>
    </row>
    <row r="191" spans="2:25" x14ac:dyDescent="0.25">
      <c r="C191" t="s">
        <v>275</v>
      </c>
      <c r="D191" s="1" t="s">
        <v>286</v>
      </c>
      <c r="F191">
        <v>40</v>
      </c>
      <c r="M191" t="str">
        <f t="shared" si="35"/>
        <v>[190]={[2]={["SPRING_FESTIVAL"]=40;};[1]=0x7006A6E1;}; --Steed of the Perfect Curl</v>
      </c>
      <c r="N191" t="str">
        <f t="shared" si="36"/>
        <v>[190]={[1]="DIVIDER1"; [2]={["ENGLISH"] = ""; }; };</v>
      </c>
      <c r="O191" t="str">
        <f t="shared" si="37"/>
        <v>[190]={[1]="DIVIDER2"; [2]={["ENGLISH"] = ""; }; };</v>
      </c>
      <c r="P191" t="str">
        <f t="shared" si="38"/>
        <v/>
      </c>
      <c r="Q191" t="str">
        <f t="shared" si="39"/>
        <v>[1]=0x7006A6E1;</v>
      </c>
      <c r="R191" t="str">
        <f t="shared" si="40"/>
        <v/>
      </c>
      <c r="S191" t="str">
        <f t="shared" si="41"/>
        <v>[2]={["SPRING_FESTIVAL"]=40;};</v>
      </c>
      <c r="T191" t="str">
        <f t="shared" si="42"/>
        <v>["SPRING_FESTIVAL"]=40;</v>
      </c>
      <c r="U191" t="str">
        <f t="shared" si="43"/>
        <v/>
      </c>
      <c r="V191" t="str">
        <f t="shared" si="44"/>
        <v/>
      </c>
      <c r="W191" t="str">
        <f t="shared" si="45"/>
        <v/>
      </c>
      <c r="X191" t="str">
        <f t="shared" si="46"/>
        <v/>
      </c>
      <c r="Y191" t="str">
        <f t="shared" si="47"/>
        <v/>
      </c>
    </row>
    <row r="192" spans="2:25" x14ac:dyDescent="0.25">
      <c r="C192" t="s">
        <v>276</v>
      </c>
      <c r="D192" s="1" t="s">
        <v>287</v>
      </c>
      <c r="F192">
        <v>15</v>
      </c>
      <c r="M192" t="str">
        <f t="shared" si="35"/>
        <v>[191]={[2]={["SPRING_FESTIVAL"]=15;};[1]=0x7006A6E6;}; --Perfect Curl Accessory</v>
      </c>
      <c r="N192" t="str">
        <f t="shared" si="36"/>
        <v>[191]={[1]="DIVIDER1"; [2]={["ENGLISH"] = ""; }; };</v>
      </c>
      <c r="O192" t="str">
        <f t="shared" si="37"/>
        <v>[191]={[1]="DIVIDER2"; [2]={["ENGLISH"] = ""; }; };</v>
      </c>
      <c r="P192" t="str">
        <f t="shared" si="38"/>
        <v/>
      </c>
      <c r="Q192" t="str">
        <f t="shared" si="39"/>
        <v>[1]=0x7006A6E6;</v>
      </c>
      <c r="R192" t="str">
        <f t="shared" si="40"/>
        <v/>
      </c>
      <c r="S192" t="str">
        <f t="shared" si="41"/>
        <v>[2]={["SPRING_FESTIVAL"]=15;};</v>
      </c>
      <c r="T192" t="str">
        <f t="shared" si="42"/>
        <v>["SPRING_FESTIVAL"]=15;</v>
      </c>
      <c r="U192" t="str">
        <f t="shared" si="43"/>
        <v/>
      </c>
      <c r="V192" t="str">
        <f t="shared" si="44"/>
        <v/>
      </c>
      <c r="W192" t="str">
        <f t="shared" si="45"/>
        <v/>
      </c>
      <c r="X192" t="str">
        <f t="shared" si="46"/>
        <v/>
      </c>
      <c r="Y192" t="str">
        <f t="shared" si="47"/>
        <v/>
      </c>
    </row>
    <row r="193" spans="2:25" x14ac:dyDescent="0.25">
      <c r="C193" t="s">
        <v>277</v>
      </c>
      <c r="D193" s="1" t="s">
        <v>288</v>
      </c>
      <c r="F193">
        <v>25</v>
      </c>
      <c r="M193" t="str">
        <f t="shared" si="35"/>
        <v>[192]={[2]={["SPRING_FESTIVAL"]=25;};[1]=0x7006A6EB;}; --Perfect Curl Caparison</v>
      </c>
      <c r="N193" t="str">
        <f t="shared" si="36"/>
        <v>[192]={[1]="DIVIDER1"; [2]={["ENGLISH"] = ""; }; };</v>
      </c>
      <c r="O193" t="str">
        <f t="shared" si="37"/>
        <v>[192]={[1]="DIVIDER2"; [2]={["ENGLISH"] = ""; }; };</v>
      </c>
      <c r="P193" t="str">
        <f t="shared" si="38"/>
        <v/>
      </c>
      <c r="Q193" t="str">
        <f t="shared" si="39"/>
        <v>[1]=0x7006A6EB;</v>
      </c>
      <c r="R193" t="str">
        <f t="shared" si="40"/>
        <v/>
      </c>
      <c r="S193" t="str">
        <f t="shared" si="41"/>
        <v>[2]={["SPRING_FESTIVAL"]=25;};</v>
      </c>
      <c r="T193" t="str">
        <f t="shared" si="42"/>
        <v>["SPRING_FESTIVAL"]=25;</v>
      </c>
      <c r="U193" t="str">
        <f t="shared" si="43"/>
        <v/>
      </c>
      <c r="V193" t="str">
        <f t="shared" si="44"/>
        <v/>
      </c>
      <c r="W193" t="str">
        <f t="shared" si="45"/>
        <v/>
      </c>
      <c r="X193" t="str">
        <f t="shared" si="46"/>
        <v/>
      </c>
      <c r="Y193" t="str">
        <f t="shared" si="47"/>
        <v/>
      </c>
    </row>
    <row r="194" spans="2:25" x14ac:dyDescent="0.25">
      <c r="C194" t="s">
        <v>278</v>
      </c>
      <c r="D194" s="1" t="s">
        <v>289</v>
      </c>
      <c r="F194">
        <v>20</v>
      </c>
      <c r="M194" t="str">
        <f t="shared" si="35"/>
        <v>[193]={[2]={["SPRING_FESTIVAL"]=20;};[1]=0x7006A6E9;}; --Perfect Curl Head-piece</v>
      </c>
      <c r="N194" t="str">
        <f t="shared" si="36"/>
        <v>[193]={[1]="DIVIDER1"; [2]={["ENGLISH"] = ""; }; };</v>
      </c>
      <c r="O194" t="str">
        <f t="shared" si="37"/>
        <v>[193]={[1]="DIVIDER2"; [2]={["ENGLISH"] = ""; }; };</v>
      </c>
      <c r="P194" t="str">
        <f t="shared" si="38"/>
        <v/>
      </c>
      <c r="Q194" t="str">
        <f t="shared" si="39"/>
        <v>[1]=0x7006A6E9;</v>
      </c>
      <c r="R194" t="str">
        <f t="shared" si="40"/>
        <v/>
      </c>
      <c r="S194" t="str">
        <f t="shared" si="41"/>
        <v>[2]={["SPRING_FESTIVAL"]=20;};</v>
      </c>
      <c r="T194" t="str">
        <f t="shared" si="42"/>
        <v>["SPRING_FESTIVAL"]=20;</v>
      </c>
      <c r="U194" t="str">
        <f t="shared" si="43"/>
        <v/>
      </c>
      <c r="V194" t="str">
        <f t="shared" si="44"/>
        <v/>
      </c>
      <c r="W194" t="str">
        <f t="shared" si="45"/>
        <v/>
      </c>
      <c r="X194" t="str">
        <f t="shared" si="46"/>
        <v/>
      </c>
      <c r="Y194" t="str">
        <f t="shared" si="47"/>
        <v/>
      </c>
    </row>
    <row r="195" spans="2:25" x14ac:dyDescent="0.25">
      <c r="C195" t="s">
        <v>279</v>
      </c>
      <c r="D195" s="1" t="s">
        <v>290</v>
      </c>
      <c r="F195">
        <v>15</v>
      </c>
      <c r="M195" t="str">
        <f t="shared" ref="M195:M258" si="48">IF(
  NOT(ISBLANK(A195)),
  N195,
  IF(
    NOT(ISBLANK(B195)),
    O195,
    CONCATENATE("[",ROW()-1,"]={",R195,S195,Q195,"};"," --",C195)
  )
)</f>
        <v>[194]={[2]={["SPRING_FESTIVAL"]=15;};[1]=0x7006A6E8;}; --Perfect Curl Leg-guards</v>
      </c>
      <c r="N195" t="str">
        <f t="shared" ref="N195:N258" si="49">CONCATENATE("[",ROW()-1,"]={[1]=""DIVIDER1""; [2]={[""ENGLISH""] = """,A195,"""; }; ",P195,"};")</f>
        <v>[194]={[1]="DIVIDER1"; [2]={["ENGLISH"] = ""; }; };</v>
      </c>
      <c r="O195" t="str">
        <f t="shared" ref="O195:O258" si="50">CONCATENATE("[",ROW()-1,"]={[1]=""DIVIDER2""; [2]={[""ENGLISH""] = """,B195,"""; }; ",P195,"};")</f>
        <v>[194]={[1]="DIVIDER2"; [2]={["ENGLISH"] = ""; }; };</v>
      </c>
      <c r="P195" t="str">
        <f t="shared" ref="P195:P258" si="51">IF(LEN(L195)&gt;0,CONCATENATE("[""DIVIDER_HEIGHT""] = ",L195,";"),"")</f>
        <v/>
      </c>
      <c r="Q195" t="str">
        <f t="shared" ref="Q195:Q258" si="52">CONCATENATE("[1]=",D195,";")</f>
        <v>[1]=0x7006A6E8;</v>
      </c>
      <c r="R195" t="str">
        <f t="shared" ref="R195:R258" si="53">IF(E195&gt;0,CONCATENATE("[3]=",E195,";"),"")</f>
        <v/>
      </c>
      <c r="S195" t="str">
        <f t="shared" ref="S195:S258" si="54">_xlfn.TEXTJOIN("",TRUE,"[2]={",T195:Y195,"};")</f>
        <v>[2]={["SPRING_FESTIVAL"]=15;};</v>
      </c>
      <c r="T195" t="str">
        <f t="shared" ref="T195:T258" si="55">IF(F195&gt;0,CONCATENATE("[""",F$1,"""]=",F195,";"),"")</f>
        <v>["SPRING_FESTIVAL"]=15;</v>
      </c>
      <c r="U195" t="str">
        <f t="shared" ref="U195:U258" si="56">IF(G195&gt;0,CONCATENATE("[""",G$1,"""]=",G195,";"),"")</f>
        <v/>
      </c>
      <c r="V195" t="str">
        <f t="shared" ref="V195:V258" si="57">IF(H195&gt;0,CONCATENATE("[""",H$1,"""]=",H195,";"),"")</f>
        <v/>
      </c>
      <c r="W195" t="str">
        <f t="shared" ref="W195:W258" si="58">IF(I195&gt;0,CONCATENATE("[""",I$1,"""]=",I195,";"),"")</f>
        <v/>
      </c>
      <c r="X195" t="str">
        <f t="shared" ref="X195:X258" si="59">IF(J195&gt;0,CONCATENATE("[""",J$1,"""]=",J195,";"),"")</f>
        <v/>
      </c>
      <c r="Y195" t="str">
        <f t="shared" ref="Y195:Y258" si="60">IF(K195&gt;0,CONCATENATE("[""",K$1,"""]=",K195,";"),"")</f>
        <v/>
      </c>
    </row>
    <row r="196" spans="2:25" x14ac:dyDescent="0.25">
      <c r="C196" t="s">
        <v>280</v>
      </c>
      <c r="D196" s="1" t="s">
        <v>291</v>
      </c>
      <c r="F196">
        <v>15</v>
      </c>
      <c r="M196" t="str">
        <f t="shared" si="48"/>
        <v>[195]={[2]={["SPRING_FESTIVAL"]=15;};[1]=0x7006A6ED;}; --Perfect Curl Saddle</v>
      </c>
      <c r="N196" t="str">
        <f t="shared" si="49"/>
        <v>[195]={[1]="DIVIDER1"; [2]={["ENGLISH"] = ""; }; };</v>
      </c>
      <c r="O196" t="str">
        <f t="shared" si="50"/>
        <v>[195]={[1]="DIVIDER2"; [2]={["ENGLISH"] = ""; }; };</v>
      </c>
      <c r="P196" t="str">
        <f t="shared" si="51"/>
        <v/>
      </c>
      <c r="Q196" t="str">
        <f t="shared" si="52"/>
        <v>[1]=0x7006A6ED;</v>
      </c>
      <c r="R196" t="str">
        <f t="shared" si="53"/>
        <v/>
      </c>
      <c r="S196" t="str">
        <f t="shared" si="54"/>
        <v>[2]={["SPRING_FESTIVAL"]=15;};</v>
      </c>
      <c r="T196" t="str">
        <f t="shared" si="55"/>
        <v>["SPRING_FESTIVAL"]=15;</v>
      </c>
      <c r="U196" t="str">
        <f t="shared" si="56"/>
        <v/>
      </c>
      <c r="V196" t="str">
        <f t="shared" si="57"/>
        <v/>
      </c>
      <c r="W196" t="str">
        <f t="shared" si="58"/>
        <v/>
      </c>
      <c r="X196" t="str">
        <f t="shared" si="59"/>
        <v/>
      </c>
      <c r="Y196" t="str">
        <f t="shared" si="60"/>
        <v/>
      </c>
    </row>
    <row r="197" spans="2:25" x14ac:dyDescent="0.25">
      <c r="C197" t="s">
        <v>281</v>
      </c>
      <c r="D197" s="1" t="s">
        <v>292</v>
      </c>
      <c r="F197">
        <v>40</v>
      </c>
      <c r="M197" t="str">
        <f t="shared" si="48"/>
        <v>[196]={[2]={["SPRING_FESTIVAL"]=40;};[1]=0x7005A3E9;}; --Steed of the Forest Spring</v>
      </c>
      <c r="N197" t="str">
        <f t="shared" si="49"/>
        <v>[196]={[1]="DIVIDER1"; [2]={["ENGLISH"] = ""; }; };</v>
      </c>
      <c r="O197" t="str">
        <f t="shared" si="50"/>
        <v>[196]={[1]="DIVIDER2"; [2]={["ENGLISH"] = ""; }; };</v>
      </c>
      <c r="P197" t="str">
        <f t="shared" si="51"/>
        <v/>
      </c>
      <c r="Q197" t="str">
        <f t="shared" si="52"/>
        <v>[1]=0x7005A3E9;</v>
      </c>
      <c r="R197" t="str">
        <f t="shared" si="53"/>
        <v/>
      </c>
      <c r="S197" t="str">
        <f t="shared" si="54"/>
        <v>[2]={["SPRING_FESTIVAL"]=40;};</v>
      </c>
      <c r="T197" t="str">
        <f t="shared" si="55"/>
        <v>["SPRING_FESTIVAL"]=40;</v>
      </c>
      <c r="U197" t="str">
        <f t="shared" si="56"/>
        <v/>
      </c>
      <c r="V197" t="str">
        <f t="shared" si="57"/>
        <v/>
      </c>
      <c r="W197" t="str">
        <f t="shared" si="58"/>
        <v/>
      </c>
      <c r="X197" t="str">
        <f t="shared" si="59"/>
        <v/>
      </c>
      <c r="Y197" t="str">
        <f t="shared" si="60"/>
        <v/>
      </c>
    </row>
    <row r="198" spans="2:25" x14ac:dyDescent="0.25">
      <c r="C198" t="s">
        <v>282</v>
      </c>
      <c r="D198" s="1" t="s">
        <v>293</v>
      </c>
      <c r="F198">
        <v>30</v>
      </c>
      <c r="M198" t="str">
        <f t="shared" si="48"/>
        <v>[197]={[2]={["SPRING_FESTIVAL"]=30;};[1]=0x7005A402;}; --Caparison of the Forest Spring</v>
      </c>
      <c r="N198" t="str">
        <f t="shared" si="49"/>
        <v>[197]={[1]="DIVIDER1"; [2]={["ENGLISH"] = ""; }; };</v>
      </c>
      <c r="O198" t="str">
        <f t="shared" si="50"/>
        <v>[197]={[1]="DIVIDER2"; [2]={["ENGLISH"] = ""; }; };</v>
      </c>
      <c r="P198" t="str">
        <f t="shared" si="51"/>
        <v/>
      </c>
      <c r="Q198" t="str">
        <f t="shared" si="52"/>
        <v>[1]=0x7005A402;</v>
      </c>
      <c r="R198" t="str">
        <f t="shared" si="53"/>
        <v/>
      </c>
      <c r="S198" t="str">
        <f t="shared" si="54"/>
        <v>[2]={["SPRING_FESTIVAL"]=30;};</v>
      </c>
      <c r="T198" t="str">
        <f t="shared" si="55"/>
        <v>["SPRING_FESTIVAL"]=30;</v>
      </c>
      <c r="U198" t="str">
        <f t="shared" si="56"/>
        <v/>
      </c>
      <c r="V198" t="str">
        <f t="shared" si="57"/>
        <v/>
      </c>
      <c r="W198" t="str">
        <f t="shared" si="58"/>
        <v/>
      </c>
      <c r="X198" t="str">
        <f t="shared" si="59"/>
        <v/>
      </c>
      <c r="Y198" t="str">
        <f t="shared" si="60"/>
        <v/>
      </c>
    </row>
    <row r="199" spans="2:25" x14ac:dyDescent="0.25">
      <c r="C199" t="s">
        <v>283</v>
      </c>
      <c r="D199" s="1" t="s">
        <v>294</v>
      </c>
      <c r="F199">
        <v>25</v>
      </c>
      <c r="M199" t="str">
        <f t="shared" si="48"/>
        <v>[198]={[2]={["SPRING_FESTIVAL"]=25;};[1]=0x7005A40A;}; --Head-piece of the Forest Spring</v>
      </c>
      <c r="N199" t="str">
        <f t="shared" si="49"/>
        <v>[198]={[1]="DIVIDER1"; [2]={["ENGLISH"] = ""; }; };</v>
      </c>
      <c r="O199" t="str">
        <f t="shared" si="50"/>
        <v>[198]={[1]="DIVIDER2"; [2]={["ENGLISH"] = ""; }; };</v>
      </c>
      <c r="P199" t="str">
        <f t="shared" si="51"/>
        <v/>
      </c>
      <c r="Q199" t="str">
        <f t="shared" si="52"/>
        <v>[1]=0x7005A40A;</v>
      </c>
      <c r="R199" t="str">
        <f t="shared" si="53"/>
        <v/>
      </c>
      <c r="S199" t="str">
        <f t="shared" si="54"/>
        <v>[2]={["SPRING_FESTIVAL"]=25;};</v>
      </c>
      <c r="T199" t="str">
        <f t="shared" si="55"/>
        <v>["SPRING_FESTIVAL"]=25;</v>
      </c>
      <c r="U199" t="str">
        <f t="shared" si="56"/>
        <v/>
      </c>
      <c r="V199" t="str">
        <f t="shared" si="57"/>
        <v/>
      </c>
      <c r="W199" t="str">
        <f t="shared" si="58"/>
        <v/>
      </c>
      <c r="X199" t="str">
        <f t="shared" si="59"/>
        <v/>
      </c>
      <c r="Y199" t="str">
        <f t="shared" si="60"/>
        <v/>
      </c>
    </row>
    <row r="200" spans="2:25" x14ac:dyDescent="0.25">
      <c r="C200" t="s">
        <v>284</v>
      </c>
      <c r="D200" s="1" t="s">
        <v>295</v>
      </c>
      <c r="F200">
        <v>20</v>
      </c>
      <c r="M200" t="str">
        <f t="shared" si="48"/>
        <v>[199]={[2]={["SPRING_FESTIVAL"]=20;};[1]=0x7005A411;}; --Saddle of the Forest Spring</v>
      </c>
      <c r="N200" t="str">
        <f t="shared" si="49"/>
        <v>[199]={[1]="DIVIDER1"; [2]={["ENGLISH"] = ""; }; };</v>
      </c>
      <c r="O200" t="str">
        <f t="shared" si="50"/>
        <v>[199]={[1]="DIVIDER2"; [2]={["ENGLISH"] = ""; }; };</v>
      </c>
      <c r="P200" t="str">
        <f t="shared" si="51"/>
        <v/>
      </c>
      <c r="Q200" t="str">
        <f t="shared" si="52"/>
        <v>[1]=0x7005A411;</v>
      </c>
      <c r="R200" t="str">
        <f t="shared" si="53"/>
        <v/>
      </c>
      <c r="S200" t="str">
        <f t="shared" si="54"/>
        <v>[2]={["SPRING_FESTIVAL"]=20;};</v>
      </c>
      <c r="T200" t="str">
        <f t="shared" si="55"/>
        <v>["SPRING_FESTIVAL"]=20;</v>
      </c>
      <c r="U200" t="str">
        <f t="shared" si="56"/>
        <v/>
      </c>
      <c r="V200" t="str">
        <f t="shared" si="57"/>
        <v/>
      </c>
      <c r="W200" t="str">
        <f t="shared" si="58"/>
        <v/>
      </c>
      <c r="X200" t="str">
        <f t="shared" si="59"/>
        <v/>
      </c>
      <c r="Y200" t="str">
        <f t="shared" si="60"/>
        <v/>
      </c>
    </row>
    <row r="201" spans="2:25" x14ac:dyDescent="0.25">
      <c r="C201" t="s">
        <v>285</v>
      </c>
      <c r="D201" s="1" t="s">
        <v>296</v>
      </c>
      <c r="F201">
        <v>30</v>
      </c>
      <c r="M201" t="str">
        <f t="shared" si="48"/>
        <v>[200]={[2]={["SPRING_FESTIVAL"]=30;};[1]=0x700568BB;}; --Elk of the Spring Wood</v>
      </c>
      <c r="N201" t="str">
        <f t="shared" si="49"/>
        <v>[200]={[1]="DIVIDER1"; [2]={["ENGLISH"] = ""; }; };</v>
      </c>
      <c r="O201" t="str">
        <f t="shared" si="50"/>
        <v>[200]={[1]="DIVIDER2"; [2]={["ENGLISH"] = ""; }; };</v>
      </c>
      <c r="P201" t="str">
        <f t="shared" si="51"/>
        <v/>
      </c>
      <c r="Q201" t="str">
        <f t="shared" si="52"/>
        <v>[1]=0x700568BB;</v>
      </c>
      <c r="R201" t="str">
        <f t="shared" si="53"/>
        <v/>
      </c>
      <c r="S201" t="str">
        <f t="shared" si="54"/>
        <v>[2]={["SPRING_FESTIVAL"]=30;};</v>
      </c>
      <c r="T201" t="str">
        <f t="shared" si="55"/>
        <v>["SPRING_FESTIVAL"]=30;</v>
      </c>
      <c r="U201" t="str">
        <f t="shared" si="56"/>
        <v/>
      </c>
      <c r="V201" t="str">
        <f t="shared" si="57"/>
        <v/>
      </c>
      <c r="W201" t="str">
        <f t="shared" si="58"/>
        <v/>
      </c>
      <c r="X201" t="str">
        <f t="shared" si="59"/>
        <v/>
      </c>
      <c r="Y201" t="str">
        <f t="shared" si="60"/>
        <v/>
      </c>
    </row>
    <row r="202" spans="2:25" x14ac:dyDescent="0.25">
      <c r="B202" t="s">
        <v>297</v>
      </c>
      <c r="M202" t="str">
        <f t="shared" si="48"/>
        <v>[201]={[1]="DIVIDER2"; [2]={["ENGLISH"] = "Spring Festival Steeds - Mithril"; }; };</v>
      </c>
      <c r="N202" t="str">
        <f t="shared" si="49"/>
        <v>[201]={[1]="DIVIDER1"; [2]={["ENGLISH"] = ""; }; };</v>
      </c>
      <c r="O202" t="str">
        <f t="shared" si="50"/>
        <v>[201]={[1]="DIVIDER2"; [2]={["ENGLISH"] = "Spring Festival Steeds - Mithril"; }; };</v>
      </c>
      <c r="P202" t="str">
        <f t="shared" si="51"/>
        <v/>
      </c>
      <c r="Q202" t="str">
        <f t="shared" si="52"/>
        <v>[1]=;</v>
      </c>
      <c r="R202" t="str">
        <f t="shared" si="53"/>
        <v/>
      </c>
      <c r="S202" t="str">
        <f t="shared" si="54"/>
        <v>[2]={};</v>
      </c>
      <c r="T202" t="str">
        <f t="shared" si="55"/>
        <v/>
      </c>
      <c r="U202" t="str">
        <f t="shared" si="56"/>
        <v/>
      </c>
      <c r="V202" t="str">
        <f t="shared" si="57"/>
        <v/>
      </c>
      <c r="W202" t="str">
        <f t="shared" si="58"/>
        <v/>
      </c>
      <c r="X202" t="str">
        <f t="shared" si="59"/>
        <v/>
      </c>
      <c r="Y202" t="str">
        <f t="shared" si="60"/>
        <v/>
      </c>
    </row>
    <row r="203" spans="2:25" x14ac:dyDescent="0.25">
      <c r="C203" t="s">
        <v>8</v>
      </c>
      <c r="D203" s="1" t="s">
        <v>74</v>
      </c>
      <c r="H203">
        <v>70</v>
      </c>
      <c r="M203" t="str">
        <f t="shared" si="48"/>
        <v>[202]={[2]={["GENERIC_MITHRIL"]=70;};[1]=0x7002E91A;}; --Simbelmynë Steed</v>
      </c>
      <c r="N203" t="str">
        <f t="shared" si="49"/>
        <v>[202]={[1]="DIVIDER1"; [2]={["ENGLISH"] = ""; }; };</v>
      </c>
      <c r="O203" t="str">
        <f t="shared" si="50"/>
        <v>[202]={[1]="DIVIDER2"; [2]={["ENGLISH"] = ""; }; };</v>
      </c>
      <c r="P203" t="str">
        <f t="shared" si="51"/>
        <v/>
      </c>
      <c r="Q203" t="str">
        <f t="shared" si="52"/>
        <v>[1]=0x7002E91A;</v>
      </c>
      <c r="R203" t="str">
        <f t="shared" si="53"/>
        <v/>
      </c>
      <c r="S203" t="str">
        <f t="shared" si="54"/>
        <v>[2]={["GENERIC_MITHRIL"]=70;};</v>
      </c>
      <c r="T203" t="str">
        <f t="shared" si="55"/>
        <v/>
      </c>
      <c r="U203" t="str">
        <f t="shared" si="56"/>
        <v/>
      </c>
      <c r="V203" t="str">
        <f t="shared" si="57"/>
        <v>["GENERIC_MITHRIL"]=70;</v>
      </c>
      <c r="W203" t="str">
        <f t="shared" si="58"/>
        <v/>
      </c>
      <c r="X203" t="str">
        <f t="shared" si="59"/>
        <v/>
      </c>
      <c r="Y203" t="str">
        <f t="shared" si="60"/>
        <v/>
      </c>
    </row>
    <row r="204" spans="2:25" x14ac:dyDescent="0.25">
      <c r="C204" t="s">
        <v>9</v>
      </c>
      <c r="D204" s="1" t="s">
        <v>75</v>
      </c>
      <c r="H204">
        <v>70</v>
      </c>
      <c r="M204" t="str">
        <f t="shared" si="48"/>
        <v>[203]={[2]={["GENERIC_MITHRIL"]=70;};[1]=0x700267A1;}; --Springtime Steed</v>
      </c>
      <c r="N204" t="str">
        <f t="shared" si="49"/>
        <v>[203]={[1]="DIVIDER1"; [2]={["ENGLISH"] = ""; }; };</v>
      </c>
      <c r="O204" t="str">
        <f t="shared" si="50"/>
        <v>[203]={[1]="DIVIDER2"; [2]={["ENGLISH"] = ""; }; };</v>
      </c>
      <c r="P204" t="str">
        <f t="shared" si="51"/>
        <v/>
      </c>
      <c r="Q204" t="str">
        <f t="shared" si="52"/>
        <v>[1]=0x700267A1;</v>
      </c>
      <c r="R204" t="str">
        <f t="shared" si="53"/>
        <v/>
      </c>
      <c r="S204" t="str">
        <f t="shared" si="54"/>
        <v>[2]={["GENERIC_MITHRIL"]=70;};</v>
      </c>
      <c r="T204" t="str">
        <f t="shared" si="55"/>
        <v/>
      </c>
      <c r="U204" t="str">
        <f t="shared" si="56"/>
        <v/>
      </c>
      <c r="V204" t="str">
        <f t="shared" si="57"/>
        <v>["GENERIC_MITHRIL"]=70;</v>
      </c>
      <c r="W204" t="str">
        <f t="shared" si="58"/>
        <v/>
      </c>
      <c r="X204" t="str">
        <f t="shared" si="59"/>
        <v/>
      </c>
      <c r="Y204" t="str">
        <f t="shared" si="60"/>
        <v/>
      </c>
    </row>
    <row r="205" spans="2:25" x14ac:dyDescent="0.25">
      <c r="C205" t="s">
        <v>10</v>
      </c>
      <c r="D205" s="1" t="s">
        <v>76</v>
      </c>
      <c r="H205">
        <v>70</v>
      </c>
      <c r="M205" t="str">
        <f t="shared" si="48"/>
        <v>[204]={[2]={["GENERIC_MITHRIL"]=70;};[1]=0x70020548;}; --Blue Roan Steed</v>
      </c>
      <c r="N205" t="str">
        <f t="shared" si="49"/>
        <v>[204]={[1]="DIVIDER1"; [2]={["ENGLISH"] = ""; }; };</v>
      </c>
      <c r="O205" t="str">
        <f t="shared" si="50"/>
        <v>[204]={[1]="DIVIDER2"; [2]={["ENGLISH"] = ""; }; };</v>
      </c>
      <c r="P205" t="str">
        <f t="shared" si="51"/>
        <v/>
      </c>
      <c r="Q205" t="str">
        <f t="shared" si="52"/>
        <v>[1]=0x70020548;</v>
      </c>
      <c r="R205" t="str">
        <f t="shared" si="53"/>
        <v/>
      </c>
      <c r="S205" t="str">
        <f t="shared" si="54"/>
        <v>[2]={["GENERIC_MITHRIL"]=70;};</v>
      </c>
      <c r="T205" t="str">
        <f t="shared" si="55"/>
        <v/>
      </c>
      <c r="U205" t="str">
        <f t="shared" si="56"/>
        <v/>
      </c>
      <c r="V205" t="str">
        <f t="shared" si="57"/>
        <v>["GENERIC_MITHRIL"]=70;</v>
      </c>
      <c r="W205" t="str">
        <f t="shared" si="58"/>
        <v/>
      </c>
      <c r="X205" t="str">
        <f t="shared" si="59"/>
        <v/>
      </c>
      <c r="Y205" t="str">
        <f t="shared" si="60"/>
        <v/>
      </c>
    </row>
    <row r="206" spans="2:25" x14ac:dyDescent="0.25">
      <c r="C206" t="s">
        <v>11</v>
      </c>
      <c r="D206" s="1" t="s">
        <v>77</v>
      </c>
      <c r="H206">
        <v>70</v>
      </c>
      <c r="M206" t="str">
        <f t="shared" si="48"/>
        <v>[205]={[2]={["GENERIC_MITHRIL"]=70;};[1]=0x70019DB0;}; --Springfest Steed</v>
      </c>
      <c r="N206" t="str">
        <f t="shared" si="49"/>
        <v>[205]={[1]="DIVIDER1"; [2]={["ENGLISH"] = ""; }; };</v>
      </c>
      <c r="O206" t="str">
        <f t="shared" si="50"/>
        <v>[205]={[1]="DIVIDER2"; [2]={["ENGLISH"] = ""; }; };</v>
      </c>
      <c r="P206" t="str">
        <f t="shared" si="51"/>
        <v/>
      </c>
      <c r="Q206" t="str">
        <f t="shared" si="52"/>
        <v>[1]=0x70019DB0;</v>
      </c>
      <c r="R206" t="str">
        <f t="shared" si="53"/>
        <v/>
      </c>
      <c r="S206" t="str">
        <f t="shared" si="54"/>
        <v>[2]={["GENERIC_MITHRIL"]=70;};</v>
      </c>
      <c r="T206" t="str">
        <f t="shared" si="55"/>
        <v/>
      </c>
      <c r="U206" t="str">
        <f t="shared" si="56"/>
        <v/>
      </c>
      <c r="V206" t="str">
        <f t="shared" si="57"/>
        <v>["GENERIC_MITHRIL"]=70;</v>
      </c>
      <c r="W206" t="str">
        <f t="shared" si="58"/>
        <v/>
      </c>
      <c r="X206" t="str">
        <f t="shared" si="59"/>
        <v/>
      </c>
      <c r="Y206" t="str">
        <f t="shared" si="60"/>
        <v/>
      </c>
    </row>
    <row r="207" spans="2:25" x14ac:dyDescent="0.25">
      <c r="C207" t="s">
        <v>298</v>
      </c>
      <c r="D207" s="1" t="s">
        <v>71</v>
      </c>
      <c r="H207">
        <v>70</v>
      </c>
      <c r="M207" t="str">
        <f t="shared" si="48"/>
        <v>[206]={[2]={["GENERIC_MITHRIL"]=70;};[1]=0x70036609;}; --Lissuin Steed</v>
      </c>
      <c r="N207" t="str">
        <f t="shared" si="49"/>
        <v>[206]={[1]="DIVIDER1"; [2]={["ENGLISH"] = ""; }; };</v>
      </c>
      <c r="O207" t="str">
        <f t="shared" si="50"/>
        <v>[206]={[1]="DIVIDER2"; [2]={["ENGLISH"] = ""; }; };</v>
      </c>
      <c r="P207" t="str">
        <f t="shared" si="51"/>
        <v/>
      </c>
      <c r="Q207" t="str">
        <f t="shared" si="52"/>
        <v>[1]=0x70036609;</v>
      </c>
      <c r="R207" t="str">
        <f t="shared" si="53"/>
        <v/>
      </c>
      <c r="S207" t="str">
        <f t="shared" si="54"/>
        <v>[2]={["GENERIC_MITHRIL"]=70;};</v>
      </c>
      <c r="T207" t="str">
        <f t="shared" si="55"/>
        <v/>
      </c>
      <c r="U207" t="str">
        <f t="shared" si="56"/>
        <v/>
      </c>
      <c r="V207" t="str">
        <f t="shared" si="57"/>
        <v>["GENERIC_MITHRIL"]=70;</v>
      </c>
      <c r="W207" t="str">
        <f t="shared" si="58"/>
        <v/>
      </c>
      <c r="X207" t="str">
        <f t="shared" si="59"/>
        <v/>
      </c>
      <c r="Y207" t="str">
        <f t="shared" si="60"/>
        <v/>
      </c>
    </row>
    <row r="208" spans="2:25" x14ac:dyDescent="0.25">
      <c r="C208" t="s">
        <v>299</v>
      </c>
      <c r="D208" s="1" t="s">
        <v>72</v>
      </c>
      <c r="H208">
        <v>70</v>
      </c>
      <c r="M208" t="str">
        <f t="shared" si="48"/>
        <v>[207]={[2]={["GENERIC_MITHRIL"]=70;};[1]=0x70036642;}; --Spring Lissuin Caparison</v>
      </c>
      <c r="N208" t="str">
        <f t="shared" si="49"/>
        <v>[207]={[1]="DIVIDER1"; [2]={["ENGLISH"] = ""; }; };</v>
      </c>
      <c r="O208" t="str">
        <f t="shared" si="50"/>
        <v>[207]={[1]="DIVIDER2"; [2]={["ENGLISH"] = ""; }; };</v>
      </c>
      <c r="P208" t="str">
        <f t="shared" si="51"/>
        <v/>
      </c>
      <c r="Q208" t="str">
        <f t="shared" si="52"/>
        <v>[1]=0x70036642;</v>
      </c>
      <c r="R208" t="str">
        <f t="shared" si="53"/>
        <v/>
      </c>
      <c r="S208" t="str">
        <f t="shared" si="54"/>
        <v>[2]={["GENERIC_MITHRIL"]=70;};</v>
      </c>
      <c r="T208" t="str">
        <f t="shared" si="55"/>
        <v/>
      </c>
      <c r="U208" t="str">
        <f t="shared" si="56"/>
        <v/>
      </c>
      <c r="V208" t="str">
        <f t="shared" si="57"/>
        <v>["GENERIC_MITHRIL"]=70;</v>
      </c>
      <c r="W208" t="str">
        <f t="shared" si="58"/>
        <v/>
      </c>
      <c r="X208" t="str">
        <f t="shared" si="59"/>
        <v/>
      </c>
      <c r="Y208" t="str">
        <f t="shared" si="60"/>
        <v/>
      </c>
    </row>
    <row r="209" spans="3:25" x14ac:dyDescent="0.25">
      <c r="C209" t="s">
        <v>300</v>
      </c>
      <c r="D209" s="1" t="s">
        <v>73</v>
      </c>
      <c r="H209">
        <v>70</v>
      </c>
      <c r="M209" t="str">
        <f t="shared" si="48"/>
        <v>[208]={[2]={["GENERIC_MITHRIL"]=70;};[1]=0x70036645;}; --Spring Lissuin Leggings</v>
      </c>
      <c r="N209" t="str">
        <f t="shared" si="49"/>
        <v>[208]={[1]="DIVIDER1"; [2]={["ENGLISH"] = ""; }; };</v>
      </c>
      <c r="O209" t="str">
        <f t="shared" si="50"/>
        <v>[208]={[1]="DIVIDER2"; [2]={["ENGLISH"] = ""; }; };</v>
      </c>
      <c r="P209" t="str">
        <f t="shared" si="51"/>
        <v/>
      </c>
      <c r="Q209" t="str">
        <f t="shared" si="52"/>
        <v>[1]=0x70036645;</v>
      </c>
      <c r="R209" t="str">
        <f t="shared" si="53"/>
        <v/>
      </c>
      <c r="S209" t="str">
        <f t="shared" si="54"/>
        <v>[2]={["GENERIC_MITHRIL"]=70;};</v>
      </c>
      <c r="T209" t="str">
        <f t="shared" si="55"/>
        <v/>
      </c>
      <c r="U209" t="str">
        <f t="shared" si="56"/>
        <v/>
      </c>
      <c r="V209" t="str">
        <f t="shared" si="57"/>
        <v>["GENERIC_MITHRIL"]=70;</v>
      </c>
      <c r="W209" t="str">
        <f t="shared" si="58"/>
        <v/>
      </c>
      <c r="X209" t="str">
        <f t="shared" si="59"/>
        <v/>
      </c>
      <c r="Y209" t="str">
        <f t="shared" si="60"/>
        <v/>
      </c>
    </row>
    <row r="210" spans="3:25" x14ac:dyDescent="0.25">
      <c r="C210" t="s">
        <v>7</v>
      </c>
      <c r="D210" s="1" t="s">
        <v>70</v>
      </c>
      <c r="H210">
        <v>70</v>
      </c>
      <c r="M210" t="str">
        <f t="shared" si="48"/>
        <v>[209]={[2]={["GENERIC_MITHRIL"]=70;};[1]=0x7003FDEC;}; --Steed of Spring Gardens</v>
      </c>
      <c r="N210" t="str">
        <f t="shared" si="49"/>
        <v>[209]={[1]="DIVIDER1"; [2]={["ENGLISH"] = ""; }; };</v>
      </c>
      <c r="O210" t="str">
        <f t="shared" si="50"/>
        <v>[209]={[1]="DIVIDER2"; [2]={["ENGLISH"] = ""; }; };</v>
      </c>
      <c r="P210" t="str">
        <f t="shared" si="51"/>
        <v/>
      </c>
      <c r="Q210" t="str">
        <f t="shared" si="52"/>
        <v>[1]=0x7003FDEC;</v>
      </c>
      <c r="R210" t="str">
        <f t="shared" si="53"/>
        <v/>
      </c>
      <c r="S210" t="str">
        <f t="shared" si="54"/>
        <v>[2]={["GENERIC_MITHRIL"]=70;};</v>
      </c>
      <c r="T210" t="str">
        <f t="shared" si="55"/>
        <v/>
      </c>
      <c r="U210" t="str">
        <f t="shared" si="56"/>
        <v/>
      </c>
      <c r="V210" t="str">
        <f t="shared" si="57"/>
        <v>["GENERIC_MITHRIL"]=70;</v>
      </c>
      <c r="W210" t="str">
        <f t="shared" si="58"/>
        <v/>
      </c>
      <c r="X210" t="str">
        <f t="shared" si="59"/>
        <v/>
      </c>
      <c r="Y210" t="str">
        <f t="shared" si="60"/>
        <v/>
      </c>
    </row>
    <row r="211" spans="3:25" x14ac:dyDescent="0.25">
      <c r="C211" t="s">
        <v>6</v>
      </c>
      <c r="D211" s="1" t="s">
        <v>69</v>
      </c>
      <c r="H211">
        <v>70</v>
      </c>
      <c r="M211" t="str">
        <f t="shared" si="48"/>
        <v>[210]={[2]={["GENERIC_MITHRIL"]=70;};[1]=0x7003FC31;}; --Trellis-weave Caparison</v>
      </c>
      <c r="N211" t="str">
        <f t="shared" si="49"/>
        <v>[210]={[1]="DIVIDER1"; [2]={["ENGLISH"] = ""; }; };</v>
      </c>
      <c r="O211" t="str">
        <f t="shared" si="50"/>
        <v>[210]={[1]="DIVIDER2"; [2]={["ENGLISH"] = ""; }; };</v>
      </c>
      <c r="P211" t="str">
        <f t="shared" si="51"/>
        <v/>
      </c>
      <c r="Q211" t="str">
        <f t="shared" si="52"/>
        <v>[1]=0x7003FC31;</v>
      </c>
      <c r="R211" t="str">
        <f t="shared" si="53"/>
        <v/>
      </c>
      <c r="S211" t="str">
        <f t="shared" si="54"/>
        <v>[2]={["GENERIC_MITHRIL"]=70;};</v>
      </c>
      <c r="T211" t="str">
        <f t="shared" si="55"/>
        <v/>
      </c>
      <c r="U211" t="str">
        <f t="shared" si="56"/>
        <v/>
      </c>
      <c r="V211" t="str">
        <f t="shared" si="57"/>
        <v>["GENERIC_MITHRIL"]=70;</v>
      </c>
      <c r="W211" t="str">
        <f t="shared" si="58"/>
        <v/>
      </c>
      <c r="X211" t="str">
        <f t="shared" si="59"/>
        <v/>
      </c>
      <c r="Y211" t="str">
        <f t="shared" si="60"/>
        <v/>
      </c>
    </row>
    <row r="212" spans="3:25" x14ac:dyDescent="0.25">
      <c r="C212" t="s">
        <v>301</v>
      </c>
      <c r="D212" s="1" t="s">
        <v>314</v>
      </c>
      <c r="H212">
        <v>70</v>
      </c>
      <c r="M212" t="str">
        <f t="shared" si="48"/>
        <v>[211]={[2]={["GENERIC_MITHRIL"]=70;};[1]=0x7004363E;}; --Steed of New Bloom</v>
      </c>
      <c r="N212" t="str">
        <f t="shared" si="49"/>
        <v>[211]={[1]="DIVIDER1"; [2]={["ENGLISH"] = ""; }; };</v>
      </c>
      <c r="O212" t="str">
        <f t="shared" si="50"/>
        <v>[211]={[1]="DIVIDER2"; [2]={["ENGLISH"] = ""; }; };</v>
      </c>
      <c r="P212" t="str">
        <f t="shared" si="51"/>
        <v/>
      </c>
      <c r="Q212" t="str">
        <f t="shared" si="52"/>
        <v>[1]=0x7004363E;</v>
      </c>
      <c r="R212" t="str">
        <f t="shared" si="53"/>
        <v/>
      </c>
      <c r="S212" t="str">
        <f t="shared" si="54"/>
        <v>[2]={["GENERIC_MITHRIL"]=70;};</v>
      </c>
      <c r="T212" t="str">
        <f t="shared" si="55"/>
        <v/>
      </c>
      <c r="U212" t="str">
        <f t="shared" si="56"/>
        <v/>
      </c>
      <c r="V212" t="str">
        <f t="shared" si="57"/>
        <v>["GENERIC_MITHRIL"]=70;</v>
      </c>
      <c r="W212" t="str">
        <f t="shared" si="58"/>
        <v/>
      </c>
      <c r="X212" t="str">
        <f t="shared" si="59"/>
        <v/>
      </c>
      <c r="Y212" t="str">
        <f t="shared" si="60"/>
        <v/>
      </c>
    </row>
    <row r="213" spans="3:25" x14ac:dyDescent="0.25">
      <c r="C213" t="s">
        <v>302</v>
      </c>
      <c r="D213" s="1" t="s">
        <v>315</v>
      </c>
      <c r="H213">
        <v>70</v>
      </c>
      <c r="M213" t="str">
        <f t="shared" si="48"/>
        <v>[212]={[2]={["GENERIC_MITHRIL"]=70;};[1]=0x70045285;}; --Steed of Ethuil</v>
      </c>
      <c r="N213" t="str">
        <f t="shared" si="49"/>
        <v>[212]={[1]="DIVIDER1"; [2]={["ENGLISH"] = ""; }; };</v>
      </c>
      <c r="O213" t="str">
        <f t="shared" si="50"/>
        <v>[212]={[1]="DIVIDER2"; [2]={["ENGLISH"] = ""; }; };</v>
      </c>
      <c r="P213" t="str">
        <f t="shared" si="51"/>
        <v/>
      </c>
      <c r="Q213" t="str">
        <f t="shared" si="52"/>
        <v>[1]=0x70045285;</v>
      </c>
      <c r="R213" t="str">
        <f t="shared" si="53"/>
        <v/>
      </c>
      <c r="S213" t="str">
        <f t="shared" si="54"/>
        <v>[2]={["GENERIC_MITHRIL"]=70;};</v>
      </c>
      <c r="T213" t="str">
        <f t="shared" si="55"/>
        <v/>
      </c>
      <c r="U213" t="str">
        <f t="shared" si="56"/>
        <v/>
      </c>
      <c r="V213" t="str">
        <f t="shared" si="57"/>
        <v>["GENERIC_MITHRIL"]=70;</v>
      </c>
      <c r="W213" t="str">
        <f t="shared" si="58"/>
        <v/>
      </c>
      <c r="X213" t="str">
        <f t="shared" si="59"/>
        <v/>
      </c>
      <c r="Y213" t="str">
        <f t="shared" si="60"/>
        <v/>
      </c>
    </row>
    <row r="214" spans="3:25" x14ac:dyDescent="0.25">
      <c r="C214" t="s">
        <v>303</v>
      </c>
      <c r="D214" s="1" t="s">
        <v>316</v>
      </c>
      <c r="H214">
        <v>70</v>
      </c>
      <c r="M214" t="str">
        <f t="shared" si="48"/>
        <v>[213]={[2]={["GENERIC_MITHRIL"]=70;};[1]=0x70047D88;}; --Steed of the Moon Moth</v>
      </c>
      <c r="N214" t="str">
        <f t="shared" si="49"/>
        <v>[213]={[1]="DIVIDER1"; [2]={["ENGLISH"] = ""; }; };</v>
      </c>
      <c r="O214" t="str">
        <f t="shared" si="50"/>
        <v>[213]={[1]="DIVIDER2"; [2]={["ENGLISH"] = ""; }; };</v>
      </c>
      <c r="P214" t="str">
        <f t="shared" si="51"/>
        <v/>
      </c>
      <c r="Q214" t="str">
        <f t="shared" si="52"/>
        <v>[1]=0x70047D88;</v>
      </c>
      <c r="R214" t="str">
        <f t="shared" si="53"/>
        <v/>
      </c>
      <c r="S214" t="str">
        <f t="shared" si="54"/>
        <v>[2]={["GENERIC_MITHRIL"]=70;};</v>
      </c>
      <c r="T214" t="str">
        <f t="shared" si="55"/>
        <v/>
      </c>
      <c r="U214" t="str">
        <f t="shared" si="56"/>
        <v/>
      </c>
      <c r="V214" t="str">
        <f t="shared" si="57"/>
        <v>["GENERIC_MITHRIL"]=70;</v>
      </c>
      <c r="W214" t="str">
        <f t="shared" si="58"/>
        <v/>
      </c>
      <c r="X214" t="str">
        <f t="shared" si="59"/>
        <v/>
      </c>
      <c r="Y214" t="str">
        <f t="shared" si="60"/>
        <v/>
      </c>
    </row>
    <row r="215" spans="3:25" x14ac:dyDescent="0.25">
      <c r="C215" t="s">
        <v>304</v>
      </c>
      <c r="D215" s="1" t="s">
        <v>317</v>
      </c>
      <c r="H215">
        <v>70</v>
      </c>
      <c r="M215" t="str">
        <f t="shared" si="48"/>
        <v>[214]={[2]={["GENERIC_MITHRIL"]=70;};[1]=0x700485CF;}; --Head-piece of the Moon Moth</v>
      </c>
      <c r="N215" t="str">
        <f t="shared" si="49"/>
        <v>[214]={[1]="DIVIDER1"; [2]={["ENGLISH"] = ""; }; };</v>
      </c>
      <c r="O215" t="str">
        <f t="shared" si="50"/>
        <v>[214]={[1]="DIVIDER2"; [2]={["ENGLISH"] = ""; }; };</v>
      </c>
      <c r="P215" t="str">
        <f t="shared" si="51"/>
        <v/>
      </c>
      <c r="Q215" t="str">
        <f t="shared" si="52"/>
        <v>[1]=0x700485CF;</v>
      </c>
      <c r="R215" t="str">
        <f t="shared" si="53"/>
        <v/>
      </c>
      <c r="S215" t="str">
        <f t="shared" si="54"/>
        <v>[2]={["GENERIC_MITHRIL"]=70;};</v>
      </c>
      <c r="T215" t="str">
        <f t="shared" si="55"/>
        <v/>
      </c>
      <c r="U215" t="str">
        <f t="shared" si="56"/>
        <v/>
      </c>
      <c r="V215" t="str">
        <f t="shared" si="57"/>
        <v>["GENERIC_MITHRIL"]=70;</v>
      </c>
      <c r="W215" t="str">
        <f t="shared" si="58"/>
        <v/>
      </c>
      <c r="X215" t="str">
        <f t="shared" si="59"/>
        <v/>
      </c>
      <c r="Y215" t="str">
        <f t="shared" si="60"/>
        <v/>
      </c>
    </row>
    <row r="216" spans="3:25" x14ac:dyDescent="0.25">
      <c r="C216" t="s">
        <v>305</v>
      </c>
      <c r="D216" s="1" t="s">
        <v>318</v>
      </c>
      <c r="H216">
        <v>70</v>
      </c>
      <c r="M216" t="str">
        <f t="shared" si="48"/>
        <v>[215]={[2]={["GENERIC_MITHRIL"]=70;};[1]=0x700485CE;}; --Caparison of the Moon Moth</v>
      </c>
      <c r="N216" t="str">
        <f t="shared" si="49"/>
        <v>[215]={[1]="DIVIDER1"; [2]={["ENGLISH"] = ""; }; };</v>
      </c>
      <c r="O216" t="str">
        <f t="shared" si="50"/>
        <v>[215]={[1]="DIVIDER2"; [2]={["ENGLISH"] = ""; }; };</v>
      </c>
      <c r="P216" t="str">
        <f t="shared" si="51"/>
        <v/>
      </c>
      <c r="Q216" t="str">
        <f t="shared" si="52"/>
        <v>[1]=0x700485CE;</v>
      </c>
      <c r="R216" t="str">
        <f t="shared" si="53"/>
        <v/>
      </c>
      <c r="S216" t="str">
        <f t="shared" si="54"/>
        <v>[2]={["GENERIC_MITHRIL"]=70;};</v>
      </c>
      <c r="T216" t="str">
        <f t="shared" si="55"/>
        <v/>
      </c>
      <c r="U216" t="str">
        <f t="shared" si="56"/>
        <v/>
      </c>
      <c r="V216" t="str">
        <f t="shared" si="57"/>
        <v>["GENERIC_MITHRIL"]=70;</v>
      </c>
      <c r="W216" t="str">
        <f t="shared" si="58"/>
        <v/>
      </c>
      <c r="X216" t="str">
        <f t="shared" si="59"/>
        <v/>
      </c>
      <c r="Y216" t="str">
        <f t="shared" si="60"/>
        <v/>
      </c>
    </row>
    <row r="217" spans="3:25" x14ac:dyDescent="0.25">
      <c r="C217" t="s">
        <v>306</v>
      </c>
      <c r="D217" s="1" t="s">
        <v>319</v>
      </c>
      <c r="H217">
        <v>70</v>
      </c>
      <c r="M217" t="str">
        <f t="shared" si="48"/>
        <v>[216]={[2]={["GENERIC_MITHRIL"]=70;};[1]=0x700485D1;}; --Saddle of the Moon Moth</v>
      </c>
      <c r="N217" t="str">
        <f t="shared" si="49"/>
        <v>[216]={[1]="DIVIDER1"; [2]={["ENGLISH"] = ""; }; };</v>
      </c>
      <c r="O217" t="str">
        <f t="shared" si="50"/>
        <v>[216]={[1]="DIVIDER2"; [2]={["ENGLISH"] = ""; }; };</v>
      </c>
      <c r="P217" t="str">
        <f t="shared" si="51"/>
        <v/>
      </c>
      <c r="Q217" t="str">
        <f t="shared" si="52"/>
        <v>[1]=0x700485D1;</v>
      </c>
      <c r="R217" t="str">
        <f t="shared" si="53"/>
        <v/>
      </c>
      <c r="S217" t="str">
        <f t="shared" si="54"/>
        <v>[2]={["GENERIC_MITHRIL"]=70;};</v>
      </c>
      <c r="T217" t="str">
        <f t="shared" si="55"/>
        <v/>
      </c>
      <c r="U217" t="str">
        <f t="shared" si="56"/>
        <v/>
      </c>
      <c r="V217" t="str">
        <f t="shared" si="57"/>
        <v>["GENERIC_MITHRIL"]=70;</v>
      </c>
      <c r="W217" t="str">
        <f t="shared" si="58"/>
        <v/>
      </c>
      <c r="X217" t="str">
        <f t="shared" si="59"/>
        <v/>
      </c>
      <c r="Y217" t="str">
        <f t="shared" si="60"/>
        <v/>
      </c>
    </row>
    <row r="218" spans="3:25" x14ac:dyDescent="0.25">
      <c r="C218" t="s">
        <v>307</v>
      </c>
      <c r="D218" s="1" t="s">
        <v>320</v>
      </c>
      <c r="H218">
        <v>70</v>
      </c>
      <c r="M218" t="str">
        <f t="shared" si="48"/>
        <v>[217]={[2]={["GENERIC_MITHRIL"]=70;};[1]=0x7004D814;}; --Lasgalen Spring Steed</v>
      </c>
      <c r="N218" t="str">
        <f t="shared" si="49"/>
        <v>[217]={[1]="DIVIDER1"; [2]={["ENGLISH"] = ""; }; };</v>
      </c>
      <c r="O218" t="str">
        <f t="shared" si="50"/>
        <v>[217]={[1]="DIVIDER2"; [2]={["ENGLISH"] = ""; }; };</v>
      </c>
      <c r="P218" t="str">
        <f t="shared" si="51"/>
        <v/>
      </c>
      <c r="Q218" t="str">
        <f t="shared" si="52"/>
        <v>[1]=0x7004D814;</v>
      </c>
      <c r="R218" t="str">
        <f t="shared" si="53"/>
        <v/>
      </c>
      <c r="S218" t="str">
        <f t="shared" si="54"/>
        <v>[2]={["GENERIC_MITHRIL"]=70;};</v>
      </c>
      <c r="T218" t="str">
        <f t="shared" si="55"/>
        <v/>
      </c>
      <c r="U218" t="str">
        <f t="shared" si="56"/>
        <v/>
      </c>
      <c r="V218" t="str">
        <f t="shared" si="57"/>
        <v>["GENERIC_MITHRIL"]=70;</v>
      </c>
      <c r="W218" t="str">
        <f t="shared" si="58"/>
        <v/>
      </c>
      <c r="X218" t="str">
        <f t="shared" si="59"/>
        <v/>
      </c>
      <c r="Y218" t="str">
        <f t="shared" si="60"/>
        <v/>
      </c>
    </row>
    <row r="219" spans="3:25" x14ac:dyDescent="0.25">
      <c r="C219" t="s">
        <v>308</v>
      </c>
      <c r="D219" s="1" t="s">
        <v>321</v>
      </c>
      <c r="H219">
        <v>70</v>
      </c>
      <c r="M219" t="str">
        <f t="shared" si="48"/>
        <v>[218]={[2]={["GENERIC_MITHRIL"]=70;};[1]=0x7004D81C;}; --Caparison of Lasgalen Spring</v>
      </c>
      <c r="N219" t="str">
        <f t="shared" si="49"/>
        <v>[218]={[1]="DIVIDER1"; [2]={["ENGLISH"] = ""; }; };</v>
      </c>
      <c r="O219" t="str">
        <f t="shared" si="50"/>
        <v>[218]={[1]="DIVIDER2"; [2]={["ENGLISH"] = ""; }; };</v>
      </c>
      <c r="P219" t="str">
        <f t="shared" si="51"/>
        <v/>
      </c>
      <c r="Q219" t="str">
        <f t="shared" si="52"/>
        <v>[1]=0x7004D81C;</v>
      </c>
      <c r="R219" t="str">
        <f t="shared" si="53"/>
        <v/>
      </c>
      <c r="S219" t="str">
        <f t="shared" si="54"/>
        <v>[2]={["GENERIC_MITHRIL"]=70;};</v>
      </c>
      <c r="T219" t="str">
        <f t="shared" si="55"/>
        <v/>
      </c>
      <c r="U219" t="str">
        <f t="shared" si="56"/>
        <v/>
      </c>
      <c r="V219" t="str">
        <f t="shared" si="57"/>
        <v>["GENERIC_MITHRIL"]=70;</v>
      </c>
      <c r="W219" t="str">
        <f t="shared" si="58"/>
        <v/>
      </c>
      <c r="X219" t="str">
        <f t="shared" si="59"/>
        <v/>
      </c>
      <c r="Y219" t="str">
        <f t="shared" si="60"/>
        <v/>
      </c>
    </row>
    <row r="220" spans="3:25" x14ac:dyDescent="0.25">
      <c r="C220" t="s">
        <v>309</v>
      </c>
      <c r="D220" s="1" t="s">
        <v>322</v>
      </c>
      <c r="H220">
        <v>70</v>
      </c>
      <c r="M220" t="str">
        <f t="shared" si="48"/>
        <v>[219]={[2]={["GENERIC_MITHRIL"]=70;};[1]=0x7004D81F;}; --Head-piece of Lasgalen Spring</v>
      </c>
      <c r="N220" t="str">
        <f t="shared" si="49"/>
        <v>[219]={[1]="DIVIDER1"; [2]={["ENGLISH"] = ""; }; };</v>
      </c>
      <c r="O220" t="str">
        <f t="shared" si="50"/>
        <v>[219]={[1]="DIVIDER2"; [2]={["ENGLISH"] = ""; }; };</v>
      </c>
      <c r="P220" t="str">
        <f t="shared" si="51"/>
        <v/>
      </c>
      <c r="Q220" t="str">
        <f t="shared" si="52"/>
        <v>[1]=0x7004D81F;</v>
      </c>
      <c r="R220" t="str">
        <f t="shared" si="53"/>
        <v/>
      </c>
      <c r="S220" t="str">
        <f t="shared" si="54"/>
        <v>[2]={["GENERIC_MITHRIL"]=70;};</v>
      </c>
      <c r="T220" t="str">
        <f t="shared" si="55"/>
        <v/>
      </c>
      <c r="U220" t="str">
        <f t="shared" si="56"/>
        <v/>
      </c>
      <c r="V220" t="str">
        <f t="shared" si="57"/>
        <v>["GENERIC_MITHRIL"]=70;</v>
      </c>
      <c r="W220" t="str">
        <f t="shared" si="58"/>
        <v/>
      </c>
      <c r="X220" t="str">
        <f t="shared" si="59"/>
        <v/>
      </c>
      <c r="Y220" t="str">
        <f t="shared" si="60"/>
        <v/>
      </c>
    </row>
    <row r="221" spans="3:25" x14ac:dyDescent="0.25">
      <c r="C221" t="s">
        <v>310</v>
      </c>
      <c r="D221" s="1" t="s">
        <v>323</v>
      </c>
      <c r="H221">
        <v>70</v>
      </c>
      <c r="M221" t="str">
        <f t="shared" si="48"/>
        <v>[220]={[2]={["GENERIC_MITHRIL"]=70;};[1]=0x7004D81E;}; --Saddle of Lasgalen Spring</v>
      </c>
      <c r="N221" t="str">
        <f t="shared" si="49"/>
        <v>[220]={[1]="DIVIDER1"; [2]={["ENGLISH"] = ""; }; };</v>
      </c>
      <c r="O221" t="str">
        <f t="shared" si="50"/>
        <v>[220]={[1]="DIVIDER2"; [2]={["ENGLISH"] = ""; }; };</v>
      </c>
      <c r="P221" t="str">
        <f t="shared" si="51"/>
        <v/>
      </c>
      <c r="Q221" t="str">
        <f t="shared" si="52"/>
        <v>[1]=0x7004D81E;</v>
      </c>
      <c r="R221" t="str">
        <f t="shared" si="53"/>
        <v/>
      </c>
      <c r="S221" t="str">
        <f t="shared" si="54"/>
        <v>[2]={["GENERIC_MITHRIL"]=70;};</v>
      </c>
      <c r="T221" t="str">
        <f t="shared" si="55"/>
        <v/>
      </c>
      <c r="U221" t="str">
        <f t="shared" si="56"/>
        <v/>
      </c>
      <c r="V221" t="str">
        <f t="shared" si="57"/>
        <v>["GENERIC_MITHRIL"]=70;</v>
      </c>
      <c r="W221" t="str">
        <f t="shared" si="58"/>
        <v/>
      </c>
      <c r="X221" t="str">
        <f t="shared" si="59"/>
        <v/>
      </c>
      <c r="Y221" t="str">
        <f t="shared" si="60"/>
        <v/>
      </c>
    </row>
    <row r="222" spans="3:25" x14ac:dyDescent="0.25">
      <c r="C222" t="s">
        <v>311</v>
      </c>
      <c r="D222" s="1" t="s">
        <v>324</v>
      </c>
      <c r="H222">
        <v>70</v>
      </c>
      <c r="M222" t="str">
        <f t="shared" si="48"/>
        <v>[221]={[2]={["GENERIC_MITHRIL"]=70;};[1]=0x7004D81D;}; --Tail of Lasgalen Spring</v>
      </c>
      <c r="N222" t="str">
        <f t="shared" si="49"/>
        <v>[221]={[1]="DIVIDER1"; [2]={["ENGLISH"] = ""; }; };</v>
      </c>
      <c r="O222" t="str">
        <f t="shared" si="50"/>
        <v>[221]={[1]="DIVIDER2"; [2]={["ENGLISH"] = ""; }; };</v>
      </c>
      <c r="P222" t="str">
        <f t="shared" si="51"/>
        <v/>
      </c>
      <c r="Q222" t="str">
        <f t="shared" si="52"/>
        <v>[1]=0x7004D81D;</v>
      </c>
      <c r="R222" t="str">
        <f t="shared" si="53"/>
        <v/>
      </c>
      <c r="S222" t="str">
        <f t="shared" si="54"/>
        <v>[2]={["GENERIC_MITHRIL"]=70;};</v>
      </c>
      <c r="T222" t="str">
        <f t="shared" si="55"/>
        <v/>
      </c>
      <c r="U222" t="str">
        <f t="shared" si="56"/>
        <v/>
      </c>
      <c r="V222" t="str">
        <f t="shared" si="57"/>
        <v>["GENERIC_MITHRIL"]=70;</v>
      </c>
      <c r="W222" t="str">
        <f t="shared" si="58"/>
        <v/>
      </c>
      <c r="X222" t="str">
        <f t="shared" si="59"/>
        <v/>
      </c>
      <c r="Y222" t="str">
        <f t="shared" si="60"/>
        <v/>
      </c>
    </row>
    <row r="223" spans="3:25" x14ac:dyDescent="0.25">
      <c r="C223" t="s">
        <v>312</v>
      </c>
      <c r="D223" s="1" t="s">
        <v>325</v>
      </c>
      <c r="H223">
        <v>70</v>
      </c>
      <c r="M223" t="str">
        <f t="shared" si="48"/>
        <v>[222]={[2]={["GENERIC_MITHRIL"]=70;};[1]=0x70052BED;}; --Travelling Goat of the Mountain Meadow</v>
      </c>
      <c r="N223" t="str">
        <f t="shared" si="49"/>
        <v>[222]={[1]="DIVIDER1"; [2]={["ENGLISH"] = ""; }; };</v>
      </c>
      <c r="O223" t="str">
        <f t="shared" si="50"/>
        <v>[222]={[1]="DIVIDER2"; [2]={["ENGLISH"] = ""; }; };</v>
      </c>
      <c r="P223" t="str">
        <f t="shared" si="51"/>
        <v/>
      </c>
      <c r="Q223" t="str">
        <f t="shared" si="52"/>
        <v>[1]=0x70052BED;</v>
      </c>
      <c r="R223" t="str">
        <f t="shared" si="53"/>
        <v/>
      </c>
      <c r="S223" t="str">
        <f t="shared" si="54"/>
        <v>[2]={["GENERIC_MITHRIL"]=70;};</v>
      </c>
      <c r="T223" t="str">
        <f t="shared" si="55"/>
        <v/>
      </c>
      <c r="U223" t="str">
        <f t="shared" si="56"/>
        <v/>
      </c>
      <c r="V223" t="str">
        <f t="shared" si="57"/>
        <v>["GENERIC_MITHRIL"]=70;</v>
      </c>
      <c r="W223" t="str">
        <f t="shared" si="58"/>
        <v/>
      </c>
      <c r="X223" t="str">
        <f t="shared" si="59"/>
        <v/>
      </c>
      <c r="Y223" t="str">
        <f t="shared" si="60"/>
        <v/>
      </c>
    </row>
    <row r="224" spans="3:25" x14ac:dyDescent="0.25">
      <c r="C224" t="s">
        <v>285</v>
      </c>
      <c r="D224" s="1" t="s">
        <v>296</v>
      </c>
      <c r="H224">
        <v>70</v>
      </c>
      <c r="M224" t="str">
        <f t="shared" si="48"/>
        <v>[223]={[2]={["GENERIC_MITHRIL"]=70;};[1]=0x700568BB;}; --Elk of the Spring Wood</v>
      </c>
      <c r="N224" t="str">
        <f t="shared" si="49"/>
        <v>[223]={[1]="DIVIDER1"; [2]={["ENGLISH"] = ""; }; };</v>
      </c>
      <c r="O224" t="str">
        <f t="shared" si="50"/>
        <v>[223]={[1]="DIVIDER2"; [2]={["ENGLISH"] = ""; }; };</v>
      </c>
      <c r="P224" t="str">
        <f t="shared" si="51"/>
        <v/>
      </c>
      <c r="Q224" t="str">
        <f t="shared" si="52"/>
        <v>[1]=0x700568BB;</v>
      </c>
      <c r="R224" t="str">
        <f t="shared" si="53"/>
        <v/>
      </c>
      <c r="S224" t="str">
        <f t="shared" si="54"/>
        <v>[2]={["GENERIC_MITHRIL"]=70;};</v>
      </c>
      <c r="T224" t="str">
        <f t="shared" si="55"/>
        <v/>
      </c>
      <c r="U224" t="str">
        <f t="shared" si="56"/>
        <v/>
      </c>
      <c r="V224" t="str">
        <f t="shared" si="57"/>
        <v>["GENERIC_MITHRIL"]=70;</v>
      </c>
      <c r="W224" t="str">
        <f t="shared" si="58"/>
        <v/>
      </c>
      <c r="X224" t="str">
        <f t="shared" si="59"/>
        <v/>
      </c>
      <c r="Y224" t="str">
        <f t="shared" si="60"/>
        <v/>
      </c>
    </row>
    <row r="225" spans="2:25" x14ac:dyDescent="0.25">
      <c r="C225" t="s">
        <v>281</v>
      </c>
      <c r="D225" s="1" t="s">
        <v>292</v>
      </c>
      <c r="H225">
        <v>70</v>
      </c>
      <c r="M225" t="str">
        <f t="shared" si="48"/>
        <v>[224]={[2]={["GENERIC_MITHRIL"]=70;};[1]=0x7005A3E9;}; --Steed of the Forest Spring</v>
      </c>
      <c r="N225" t="str">
        <f t="shared" si="49"/>
        <v>[224]={[1]="DIVIDER1"; [2]={["ENGLISH"] = ""; }; };</v>
      </c>
      <c r="O225" t="str">
        <f t="shared" si="50"/>
        <v>[224]={[1]="DIVIDER2"; [2]={["ENGLISH"] = ""; }; };</v>
      </c>
      <c r="P225" t="str">
        <f t="shared" si="51"/>
        <v/>
      </c>
      <c r="Q225" t="str">
        <f t="shared" si="52"/>
        <v>[1]=0x7005A3E9;</v>
      </c>
      <c r="R225" t="str">
        <f t="shared" si="53"/>
        <v/>
      </c>
      <c r="S225" t="str">
        <f t="shared" si="54"/>
        <v>[2]={["GENERIC_MITHRIL"]=70;};</v>
      </c>
      <c r="T225" t="str">
        <f t="shared" si="55"/>
        <v/>
      </c>
      <c r="U225" t="str">
        <f t="shared" si="56"/>
        <v/>
      </c>
      <c r="V225" t="str">
        <f t="shared" si="57"/>
        <v>["GENERIC_MITHRIL"]=70;</v>
      </c>
      <c r="W225" t="str">
        <f t="shared" si="58"/>
        <v/>
      </c>
      <c r="X225" t="str">
        <f t="shared" si="59"/>
        <v/>
      </c>
      <c r="Y225" t="str">
        <f t="shared" si="60"/>
        <v/>
      </c>
    </row>
    <row r="226" spans="2:25" x14ac:dyDescent="0.25">
      <c r="C226" t="s">
        <v>282</v>
      </c>
      <c r="D226" s="1" t="s">
        <v>293</v>
      </c>
      <c r="H226">
        <v>70</v>
      </c>
      <c r="M226" t="str">
        <f t="shared" si="48"/>
        <v>[225]={[2]={["GENERIC_MITHRIL"]=70;};[1]=0x7005A402;}; --Caparison of the Forest Spring</v>
      </c>
      <c r="N226" t="str">
        <f t="shared" si="49"/>
        <v>[225]={[1]="DIVIDER1"; [2]={["ENGLISH"] = ""; }; };</v>
      </c>
      <c r="O226" t="str">
        <f t="shared" si="50"/>
        <v>[225]={[1]="DIVIDER2"; [2]={["ENGLISH"] = ""; }; };</v>
      </c>
      <c r="P226" t="str">
        <f t="shared" si="51"/>
        <v/>
      </c>
      <c r="Q226" t="str">
        <f t="shared" si="52"/>
        <v>[1]=0x7005A402;</v>
      </c>
      <c r="R226" t="str">
        <f t="shared" si="53"/>
        <v/>
      </c>
      <c r="S226" t="str">
        <f t="shared" si="54"/>
        <v>[2]={["GENERIC_MITHRIL"]=70;};</v>
      </c>
      <c r="T226" t="str">
        <f t="shared" si="55"/>
        <v/>
      </c>
      <c r="U226" t="str">
        <f t="shared" si="56"/>
        <v/>
      </c>
      <c r="V226" t="str">
        <f t="shared" si="57"/>
        <v>["GENERIC_MITHRIL"]=70;</v>
      </c>
      <c r="W226" t="str">
        <f t="shared" si="58"/>
        <v/>
      </c>
      <c r="X226" t="str">
        <f t="shared" si="59"/>
        <v/>
      </c>
      <c r="Y226" t="str">
        <f t="shared" si="60"/>
        <v/>
      </c>
    </row>
    <row r="227" spans="2:25" x14ac:dyDescent="0.25">
      <c r="C227" t="s">
        <v>283</v>
      </c>
      <c r="D227" s="1" t="s">
        <v>294</v>
      </c>
      <c r="H227">
        <v>70</v>
      </c>
      <c r="M227" t="str">
        <f t="shared" si="48"/>
        <v>[226]={[2]={["GENERIC_MITHRIL"]=70;};[1]=0x7005A40A;}; --Head-piece of the Forest Spring</v>
      </c>
      <c r="N227" t="str">
        <f t="shared" si="49"/>
        <v>[226]={[1]="DIVIDER1"; [2]={["ENGLISH"] = ""; }; };</v>
      </c>
      <c r="O227" t="str">
        <f t="shared" si="50"/>
        <v>[226]={[1]="DIVIDER2"; [2]={["ENGLISH"] = ""; }; };</v>
      </c>
      <c r="P227" t="str">
        <f t="shared" si="51"/>
        <v/>
      </c>
      <c r="Q227" t="str">
        <f t="shared" si="52"/>
        <v>[1]=0x7005A40A;</v>
      </c>
      <c r="R227" t="str">
        <f t="shared" si="53"/>
        <v/>
      </c>
      <c r="S227" t="str">
        <f t="shared" si="54"/>
        <v>[2]={["GENERIC_MITHRIL"]=70;};</v>
      </c>
      <c r="T227" t="str">
        <f t="shared" si="55"/>
        <v/>
      </c>
      <c r="U227" t="str">
        <f t="shared" si="56"/>
        <v/>
      </c>
      <c r="V227" t="str">
        <f t="shared" si="57"/>
        <v>["GENERIC_MITHRIL"]=70;</v>
      </c>
      <c r="W227" t="str">
        <f t="shared" si="58"/>
        <v/>
      </c>
      <c r="X227" t="str">
        <f t="shared" si="59"/>
        <v/>
      </c>
      <c r="Y227" t="str">
        <f t="shared" si="60"/>
        <v/>
      </c>
    </row>
    <row r="228" spans="2:25" x14ac:dyDescent="0.25">
      <c r="C228" t="s">
        <v>284</v>
      </c>
      <c r="D228" s="1" t="s">
        <v>295</v>
      </c>
      <c r="H228">
        <v>70</v>
      </c>
      <c r="M228" t="str">
        <f t="shared" si="48"/>
        <v>[227]={[2]={["GENERIC_MITHRIL"]=70;};[1]=0x7005A411;}; --Saddle of the Forest Spring</v>
      </c>
      <c r="N228" t="str">
        <f t="shared" si="49"/>
        <v>[227]={[1]="DIVIDER1"; [2]={["ENGLISH"] = ""; }; };</v>
      </c>
      <c r="O228" t="str">
        <f t="shared" si="50"/>
        <v>[227]={[1]="DIVIDER2"; [2]={["ENGLISH"] = ""; }; };</v>
      </c>
      <c r="P228" t="str">
        <f t="shared" si="51"/>
        <v/>
      </c>
      <c r="Q228" t="str">
        <f t="shared" si="52"/>
        <v>[1]=0x7005A411;</v>
      </c>
      <c r="R228" t="str">
        <f t="shared" si="53"/>
        <v/>
      </c>
      <c r="S228" t="str">
        <f t="shared" si="54"/>
        <v>[2]={["GENERIC_MITHRIL"]=70;};</v>
      </c>
      <c r="T228" t="str">
        <f t="shared" si="55"/>
        <v/>
      </c>
      <c r="U228" t="str">
        <f t="shared" si="56"/>
        <v/>
      </c>
      <c r="V228" t="str">
        <f t="shared" si="57"/>
        <v>["GENERIC_MITHRIL"]=70;</v>
      </c>
      <c r="W228" t="str">
        <f t="shared" si="58"/>
        <v/>
      </c>
      <c r="X228" t="str">
        <f t="shared" si="59"/>
        <v/>
      </c>
      <c r="Y228" t="str">
        <f t="shared" si="60"/>
        <v/>
      </c>
    </row>
    <row r="229" spans="2:25" x14ac:dyDescent="0.25">
      <c r="C229" t="s">
        <v>275</v>
      </c>
      <c r="D229" s="1" t="s">
        <v>286</v>
      </c>
      <c r="H229">
        <v>70</v>
      </c>
      <c r="M229" t="str">
        <f t="shared" si="48"/>
        <v>[228]={[2]={["GENERIC_MITHRIL"]=70;};[1]=0x7006A6E1;}; --Steed of the Perfect Curl</v>
      </c>
      <c r="N229" t="str">
        <f t="shared" si="49"/>
        <v>[228]={[1]="DIVIDER1"; [2]={["ENGLISH"] = ""; }; };</v>
      </c>
      <c r="O229" t="str">
        <f t="shared" si="50"/>
        <v>[228]={[1]="DIVIDER2"; [2]={["ENGLISH"] = ""; }; };</v>
      </c>
      <c r="P229" t="str">
        <f t="shared" si="51"/>
        <v/>
      </c>
      <c r="Q229" t="str">
        <f t="shared" si="52"/>
        <v>[1]=0x7006A6E1;</v>
      </c>
      <c r="R229" t="str">
        <f t="shared" si="53"/>
        <v/>
      </c>
      <c r="S229" t="str">
        <f t="shared" si="54"/>
        <v>[2]={["GENERIC_MITHRIL"]=70;};</v>
      </c>
      <c r="T229" t="str">
        <f t="shared" si="55"/>
        <v/>
      </c>
      <c r="U229" t="str">
        <f t="shared" si="56"/>
        <v/>
      </c>
      <c r="V229" t="str">
        <f t="shared" si="57"/>
        <v>["GENERIC_MITHRIL"]=70;</v>
      </c>
      <c r="W229" t="str">
        <f t="shared" si="58"/>
        <v/>
      </c>
      <c r="X229" t="str">
        <f t="shared" si="59"/>
        <v/>
      </c>
      <c r="Y229" t="str">
        <f t="shared" si="60"/>
        <v/>
      </c>
    </row>
    <row r="230" spans="2:25" x14ac:dyDescent="0.25">
      <c r="C230" t="s">
        <v>313</v>
      </c>
      <c r="D230" s="1" t="s">
        <v>326</v>
      </c>
      <c r="H230">
        <v>70</v>
      </c>
      <c r="M230" t="str">
        <f t="shared" si="48"/>
        <v>[229]={[2]={["GENERIC_MITHRIL"]=70;};[1]=0x7006A6F0;}; --Perfect Curl War-steed Cosmetics</v>
      </c>
      <c r="N230" t="str">
        <f t="shared" si="49"/>
        <v>[229]={[1]="DIVIDER1"; [2]={["ENGLISH"] = ""; }; };</v>
      </c>
      <c r="O230" t="str">
        <f t="shared" si="50"/>
        <v>[229]={[1]="DIVIDER2"; [2]={["ENGLISH"] = ""; }; };</v>
      </c>
      <c r="P230" t="str">
        <f t="shared" si="51"/>
        <v/>
      </c>
      <c r="Q230" t="str">
        <f t="shared" si="52"/>
        <v>[1]=0x7006A6F0;</v>
      </c>
      <c r="R230" t="str">
        <f t="shared" si="53"/>
        <v/>
      </c>
      <c r="S230" t="str">
        <f t="shared" si="54"/>
        <v>[2]={["GENERIC_MITHRIL"]=70;};</v>
      </c>
      <c r="T230" t="str">
        <f t="shared" si="55"/>
        <v/>
      </c>
      <c r="U230" t="str">
        <f t="shared" si="56"/>
        <v/>
      </c>
      <c r="V230" t="str">
        <f t="shared" si="57"/>
        <v>["GENERIC_MITHRIL"]=70;</v>
      </c>
      <c r="W230" t="str">
        <f t="shared" si="58"/>
        <v/>
      </c>
      <c r="X230" t="str">
        <f t="shared" si="59"/>
        <v/>
      </c>
      <c r="Y230" t="str">
        <f t="shared" si="60"/>
        <v/>
      </c>
    </row>
    <row r="231" spans="2:25" x14ac:dyDescent="0.25">
      <c r="C231" t="s">
        <v>505</v>
      </c>
      <c r="D231" s="1" t="s">
        <v>503</v>
      </c>
      <c r="H231">
        <v>70</v>
      </c>
      <c r="M231" t="str">
        <f t="shared" si="48"/>
        <v>[230]={[2]={["GENERIC_MITHRIL"]=70;};[1]=0x7006ED59;}; --Goat of Budding Spring</v>
      </c>
      <c r="N231" t="str">
        <f t="shared" si="49"/>
        <v>[230]={[1]="DIVIDER1"; [2]={["ENGLISH"] = ""; }; };</v>
      </c>
      <c r="O231" t="str">
        <f t="shared" si="50"/>
        <v>[230]={[1]="DIVIDER2"; [2]={["ENGLISH"] = ""; }; };</v>
      </c>
      <c r="P231" t="str">
        <f t="shared" si="51"/>
        <v/>
      </c>
      <c r="Q231" t="str">
        <f t="shared" si="52"/>
        <v>[1]=0x7006ED59;</v>
      </c>
      <c r="R231" t="str">
        <f t="shared" si="53"/>
        <v/>
      </c>
      <c r="S231" t="str">
        <f t="shared" si="54"/>
        <v>[2]={["GENERIC_MITHRIL"]=70;};</v>
      </c>
      <c r="T231" t="str">
        <f t="shared" si="55"/>
        <v/>
      </c>
      <c r="U231" t="str">
        <f t="shared" si="56"/>
        <v/>
      </c>
      <c r="V231" t="str">
        <f t="shared" si="57"/>
        <v>["GENERIC_MITHRIL"]=70;</v>
      </c>
      <c r="W231" t="str">
        <f t="shared" si="58"/>
        <v/>
      </c>
      <c r="X231" t="str">
        <f t="shared" si="59"/>
        <v/>
      </c>
      <c r="Y231" t="str">
        <f t="shared" si="60"/>
        <v/>
      </c>
    </row>
    <row r="232" spans="2:25" x14ac:dyDescent="0.25">
      <c r="C232" t="s">
        <v>504</v>
      </c>
      <c r="D232" s="1" t="s">
        <v>502</v>
      </c>
      <c r="H232">
        <v>70</v>
      </c>
      <c r="M232" t="str">
        <f t="shared" si="48"/>
        <v>[231]={[2]={["GENERIC_MITHRIL"]=70;};[1]=0x7007442B;}; --Daffodil Celebration Goat</v>
      </c>
      <c r="N232" t="str">
        <f t="shared" si="49"/>
        <v>[231]={[1]="DIVIDER1"; [2]={["ENGLISH"] = ""; }; };</v>
      </c>
      <c r="O232" t="str">
        <f t="shared" si="50"/>
        <v>[231]={[1]="DIVIDER2"; [2]={["ENGLISH"] = ""; }; };</v>
      </c>
      <c r="P232" t="str">
        <f t="shared" si="51"/>
        <v/>
      </c>
      <c r="Q232" t="str">
        <f t="shared" si="52"/>
        <v>[1]=0x7007442B;</v>
      </c>
      <c r="R232" t="str">
        <f t="shared" si="53"/>
        <v/>
      </c>
      <c r="S232" t="str">
        <f t="shared" si="54"/>
        <v>[2]={["GENERIC_MITHRIL"]=70;};</v>
      </c>
      <c r="T232" t="str">
        <f t="shared" si="55"/>
        <v/>
      </c>
      <c r="U232" t="str">
        <f t="shared" si="56"/>
        <v/>
      </c>
      <c r="V232" t="str">
        <f t="shared" si="57"/>
        <v>["GENERIC_MITHRIL"]=70;</v>
      </c>
      <c r="W232" t="str">
        <f t="shared" si="58"/>
        <v/>
      </c>
      <c r="X232" t="str">
        <f t="shared" si="59"/>
        <v/>
      </c>
      <c r="Y232" t="str">
        <f t="shared" si="60"/>
        <v/>
      </c>
    </row>
    <row r="233" spans="2:25" x14ac:dyDescent="0.25">
      <c r="B233" t="s">
        <v>327</v>
      </c>
      <c r="M233" t="str">
        <f t="shared" si="48"/>
        <v>[232]={[1]="DIVIDER2"; [2]={["ENGLISH"] = "Essences"; }; };</v>
      </c>
      <c r="N233" t="str">
        <f t="shared" si="49"/>
        <v>[232]={[1]="DIVIDER1"; [2]={["ENGLISH"] = ""; }; };</v>
      </c>
      <c r="O233" t="str">
        <f t="shared" si="50"/>
        <v>[232]={[1]="DIVIDER2"; [2]={["ENGLISH"] = "Essences"; }; };</v>
      </c>
      <c r="P233" t="str">
        <f t="shared" si="51"/>
        <v/>
      </c>
      <c r="Q233" t="str">
        <f t="shared" si="52"/>
        <v>[1]=;</v>
      </c>
      <c r="R233" t="str">
        <f t="shared" si="53"/>
        <v/>
      </c>
      <c r="S233" t="str">
        <f t="shared" si="54"/>
        <v>[2]={};</v>
      </c>
      <c r="T233" t="str">
        <f t="shared" si="55"/>
        <v/>
      </c>
      <c r="U233" t="str">
        <f t="shared" si="56"/>
        <v/>
      </c>
      <c r="V233" t="str">
        <f t="shared" si="57"/>
        <v/>
      </c>
      <c r="W233" t="str">
        <f t="shared" si="58"/>
        <v/>
      </c>
      <c r="X233" t="str">
        <f t="shared" si="59"/>
        <v/>
      </c>
      <c r="Y233" t="str">
        <f t="shared" si="60"/>
        <v/>
      </c>
    </row>
    <row r="234" spans="2:25" x14ac:dyDescent="0.25">
      <c r="C234" t="s">
        <v>328</v>
      </c>
      <c r="D234" s="1" t="s">
        <v>329</v>
      </c>
      <c r="F234">
        <v>90</v>
      </c>
      <c r="M234" t="str">
        <f t="shared" si="48"/>
        <v>[233]={[2]={["SPRING_FESTIVAL"]=90;};[1]=0x7005F84B;}; --Essence Reclamation Scroll</v>
      </c>
      <c r="N234" t="str">
        <f t="shared" si="49"/>
        <v>[233]={[1]="DIVIDER1"; [2]={["ENGLISH"] = ""; }; };</v>
      </c>
      <c r="O234" t="str">
        <f t="shared" si="50"/>
        <v>[233]={[1]="DIVIDER2"; [2]={["ENGLISH"] = ""; }; };</v>
      </c>
      <c r="P234" t="str">
        <f t="shared" si="51"/>
        <v/>
      </c>
      <c r="Q234" t="str">
        <f t="shared" si="52"/>
        <v>[1]=0x7005F84B;</v>
      </c>
      <c r="R234" t="str">
        <f t="shared" si="53"/>
        <v/>
      </c>
      <c r="S234" t="str">
        <f t="shared" si="54"/>
        <v>[2]={["SPRING_FESTIVAL"]=90;};</v>
      </c>
      <c r="T234" t="str">
        <f t="shared" si="55"/>
        <v>["SPRING_FESTIVAL"]=90;</v>
      </c>
      <c r="U234" t="str">
        <f t="shared" si="56"/>
        <v/>
      </c>
      <c r="V234" t="str">
        <f t="shared" si="57"/>
        <v/>
      </c>
      <c r="W234" t="str">
        <f t="shared" si="58"/>
        <v/>
      </c>
      <c r="X234" t="str">
        <f t="shared" si="59"/>
        <v/>
      </c>
      <c r="Y234" t="str">
        <f t="shared" si="60"/>
        <v/>
      </c>
    </row>
    <row r="235" spans="2:25" x14ac:dyDescent="0.25">
      <c r="B235" t="s">
        <v>330</v>
      </c>
      <c r="M235" t="str">
        <f t="shared" si="48"/>
        <v>[234]={[1]="DIVIDER2"; [2]={["ENGLISH"] = "Dyes"; }; };</v>
      </c>
      <c r="N235" t="str">
        <f t="shared" si="49"/>
        <v>[234]={[1]="DIVIDER1"; [2]={["ENGLISH"] = ""; }; };</v>
      </c>
      <c r="O235" t="str">
        <f t="shared" si="50"/>
        <v>[234]={[1]="DIVIDER2"; [2]={["ENGLISH"] = "Dyes"; }; };</v>
      </c>
      <c r="P235" t="str">
        <f t="shared" si="51"/>
        <v/>
      </c>
      <c r="Q235" t="str">
        <f t="shared" si="52"/>
        <v>[1]=;</v>
      </c>
      <c r="R235" t="str">
        <f t="shared" si="53"/>
        <v/>
      </c>
      <c r="S235" t="str">
        <f t="shared" si="54"/>
        <v>[2]={};</v>
      </c>
      <c r="T235" t="str">
        <f t="shared" si="55"/>
        <v/>
      </c>
      <c r="U235" t="str">
        <f t="shared" si="56"/>
        <v/>
      </c>
      <c r="V235" t="str">
        <f t="shared" si="57"/>
        <v/>
      </c>
      <c r="W235" t="str">
        <f t="shared" si="58"/>
        <v/>
      </c>
      <c r="X235" t="str">
        <f t="shared" si="59"/>
        <v/>
      </c>
      <c r="Y235" t="str">
        <f t="shared" si="60"/>
        <v/>
      </c>
    </row>
    <row r="236" spans="2:25" x14ac:dyDescent="0.25">
      <c r="C236" t="s">
        <v>331</v>
      </c>
      <c r="D236" s="1" t="s">
        <v>332</v>
      </c>
      <c r="E236">
        <v>6</v>
      </c>
      <c r="F236">
        <v>15</v>
      </c>
      <c r="M236" t="str">
        <f t="shared" si="48"/>
        <v>[235]={[3]=6;[2]={["SPRING_FESTIVAL"]=15;};[1]=0x70044B8E;}; --Shire-plum Dye</v>
      </c>
      <c r="N236" t="str">
        <f t="shared" si="49"/>
        <v>[235]={[1]="DIVIDER1"; [2]={["ENGLISH"] = ""; }; };</v>
      </c>
      <c r="O236" t="str">
        <f t="shared" si="50"/>
        <v>[235]={[1]="DIVIDER2"; [2]={["ENGLISH"] = ""; }; };</v>
      </c>
      <c r="P236" t="str">
        <f t="shared" si="51"/>
        <v/>
      </c>
      <c r="Q236" t="str">
        <f t="shared" si="52"/>
        <v>[1]=0x70044B8E;</v>
      </c>
      <c r="R236" t="str">
        <f t="shared" si="53"/>
        <v>[3]=6;</v>
      </c>
      <c r="S236" t="str">
        <f t="shared" si="54"/>
        <v>[2]={["SPRING_FESTIVAL"]=15;};</v>
      </c>
      <c r="T236" t="str">
        <f t="shared" si="55"/>
        <v>["SPRING_FESTIVAL"]=15;</v>
      </c>
      <c r="U236" t="str">
        <f t="shared" si="56"/>
        <v/>
      </c>
      <c r="V236" t="str">
        <f t="shared" si="57"/>
        <v/>
      </c>
      <c r="W236" t="str">
        <f t="shared" si="58"/>
        <v/>
      </c>
      <c r="X236" t="str">
        <f t="shared" si="59"/>
        <v/>
      </c>
      <c r="Y236" t="str">
        <f t="shared" si="60"/>
        <v/>
      </c>
    </row>
    <row r="237" spans="2:25" x14ac:dyDescent="0.25">
      <c r="C237" t="s">
        <v>333</v>
      </c>
      <c r="D237" s="1" t="s">
        <v>344</v>
      </c>
      <c r="E237">
        <v>6</v>
      </c>
      <c r="F237">
        <v>15</v>
      </c>
      <c r="M237" t="str">
        <f t="shared" si="48"/>
        <v>[236]={[3]=6;[2]={["SPRING_FESTIVAL"]=15;};[1]=0x70044B93;}; --Bullroarer's Green Dye</v>
      </c>
      <c r="N237" t="str">
        <f t="shared" si="49"/>
        <v>[236]={[1]="DIVIDER1"; [2]={["ENGLISH"] = ""; }; };</v>
      </c>
      <c r="O237" t="str">
        <f t="shared" si="50"/>
        <v>[236]={[1]="DIVIDER2"; [2]={["ENGLISH"] = ""; }; };</v>
      </c>
      <c r="P237" t="str">
        <f t="shared" si="51"/>
        <v/>
      </c>
      <c r="Q237" t="str">
        <f t="shared" si="52"/>
        <v>[1]=0x70044B93;</v>
      </c>
      <c r="R237" t="str">
        <f t="shared" si="53"/>
        <v>[3]=6;</v>
      </c>
      <c r="S237" t="str">
        <f t="shared" si="54"/>
        <v>[2]={["SPRING_FESTIVAL"]=15;};</v>
      </c>
      <c r="T237" t="str">
        <f t="shared" si="55"/>
        <v>["SPRING_FESTIVAL"]=15;</v>
      </c>
      <c r="U237" t="str">
        <f t="shared" si="56"/>
        <v/>
      </c>
      <c r="V237" t="str">
        <f t="shared" si="57"/>
        <v/>
      </c>
      <c r="W237" t="str">
        <f t="shared" si="58"/>
        <v/>
      </c>
      <c r="X237" t="str">
        <f t="shared" si="59"/>
        <v/>
      </c>
      <c r="Y237" t="str">
        <f t="shared" si="60"/>
        <v/>
      </c>
    </row>
    <row r="238" spans="2:25" x14ac:dyDescent="0.25">
      <c r="C238" t="s">
        <v>334</v>
      </c>
      <c r="D238" s="1" t="s">
        <v>345</v>
      </c>
      <c r="E238">
        <v>6</v>
      </c>
      <c r="H238">
        <v>10</v>
      </c>
      <c r="M238" t="str">
        <f t="shared" si="48"/>
        <v>[237]={[3]=6;[2]={["GENERIC_MITHRIL"]=10;};[1]=0x70044B96;}; --Lavender Dye</v>
      </c>
      <c r="N238" t="str">
        <f t="shared" si="49"/>
        <v>[237]={[1]="DIVIDER1"; [2]={["ENGLISH"] = ""; }; };</v>
      </c>
      <c r="O238" t="str">
        <f t="shared" si="50"/>
        <v>[237]={[1]="DIVIDER2"; [2]={["ENGLISH"] = ""; }; };</v>
      </c>
      <c r="P238" t="str">
        <f t="shared" si="51"/>
        <v/>
      </c>
      <c r="Q238" t="str">
        <f t="shared" si="52"/>
        <v>[1]=0x70044B96;</v>
      </c>
      <c r="R238" t="str">
        <f t="shared" si="53"/>
        <v>[3]=6;</v>
      </c>
      <c r="S238" t="str">
        <f t="shared" si="54"/>
        <v>[2]={["GENERIC_MITHRIL"]=10;};</v>
      </c>
      <c r="T238" t="str">
        <f t="shared" si="55"/>
        <v/>
      </c>
      <c r="U238" t="str">
        <f t="shared" si="56"/>
        <v/>
      </c>
      <c r="V238" t="str">
        <f t="shared" si="57"/>
        <v>["GENERIC_MITHRIL"]=10;</v>
      </c>
      <c r="W238" t="str">
        <f t="shared" si="58"/>
        <v/>
      </c>
      <c r="X238" t="str">
        <f t="shared" si="59"/>
        <v/>
      </c>
      <c r="Y238" t="str">
        <f t="shared" si="60"/>
        <v/>
      </c>
    </row>
    <row r="239" spans="2:25" x14ac:dyDescent="0.25">
      <c r="C239" t="s">
        <v>335</v>
      </c>
      <c r="D239" s="1" t="s">
        <v>346</v>
      </c>
      <c r="E239">
        <v>6</v>
      </c>
      <c r="H239">
        <v>10</v>
      </c>
      <c r="M239" t="str">
        <f t="shared" si="48"/>
        <v>[238]={[3]=6;[2]={["GENERIC_MITHRIL"]=10;};[1]=0x70044B91;}; --Dark Purple Dye</v>
      </c>
      <c r="N239" t="str">
        <f t="shared" si="49"/>
        <v>[238]={[1]="DIVIDER1"; [2]={["ENGLISH"] = ""; }; };</v>
      </c>
      <c r="O239" t="str">
        <f t="shared" si="50"/>
        <v>[238]={[1]="DIVIDER2"; [2]={["ENGLISH"] = ""; }; };</v>
      </c>
      <c r="P239" t="str">
        <f t="shared" si="51"/>
        <v/>
      </c>
      <c r="Q239" t="str">
        <f t="shared" si="52"/>
        <v>[1]=0x70044B91;</v>
      </c>
      <c r="R239" t="str">
        <f t="shared" si="53"/>
        <v>[3]=6;</v>
      </c>
      <c r="S239" t="str">
        <f t="shared" si="54"/>
        <v>[2]={["GENERIC_MITHRIL"]=10;};</v>
      </c>
      <c r="T239" t="str">
        <f t="shared" si="55"/>
        <v/>
      </c>
      <c r="U239" t="str">
        <f t="shared" si="56"/>
        <v/>
      </c>
      <c r="V239" t="str">
        <f t="shared" si="57"/>
        <v>["GENERIC_MITHRIL"]=10;</v>
      </c>
      <c r="W239" t="str">
        <f t="shared" si="58"/>
        <v/>
      </c>
      <c r="X239" t="str">
        <f t="shared" si="59"/>
        <v/>
      </c>
      <c r="Y239" t="str">
        <f t="shared" si="60"/>
        <v/>
      </c>
    </row>
    <row r="240" spans="2:25" x14ac:dyDescent="0.25">
      <c r="C240" t="s">
        <v>336</v>
      </c>
      <c r="D240" s="1" t="s">
        <v>347</v>
      </c>
      <c r="F240">
        <v>10</v>
      </c>
      <c r="M240" t="str">
        <f t="shared" si="48"/>
        <v>[239]={[2]={["SPRING_FESTIVAL"]=10;};[1]=0x700553A2;}; --Assortment of Dwarf-candle</v>
      </c>
      <c r="N240" t="str">
        <f t="shared" si="49"/>
        <v>[239]={[1]="DIVIDER1"; [2]={["ENGLISH"] = ""; }; };</v>
      </c>
      <c r="O240" t="str">
        <f t="shared" si="50"/>
        <v>[239]={[1]="DIVIDER2"; [2]={["ENGLISH"] = ""; }; };</v>
      </c>
      <c r="P240" t="str">
        <f t="shared" si="51"/>
        <v/>
      </c>
      <c r="Q240" t="str">
        <f t="shared" si="52"/>
        <v>[1]=0x700553A2;</v>
      </c>
      <c r="R240" t="str">
        <f t="shared" si="53"/>
        <v/>
      </c>
      <c r="S240" t="str">
        <f t="shared" si="54"/>
        <v>[2]={["SPRING_FESTIVAL"]=10;};</v>
      </c>
      <c r="T240" t="str">
        <f t="shared" si="55"/>
        <v>["SPRING_FESTIVAL"]=10;</v>
      </c>
      <c r="U240" t="str">
        <f t="shared" si="56"/>
        <v/>
      </c>
      <c r="V240" t="str">
        <f t="shared" si="57"/>
        <v/>
      </c>
      <c r="W240" t="str">
        <f t="shared" si="58"/>
        <v/>
      </c>
      <c r="X240" t="str">
        <f t="shared" si="59"/>
        <v/>
      </c>
      <c r="Y240" t="str">
        <f t="shared" si="60"/>
        <v/>
      </c>
    </row>
    <row r="241" spans="2:25" x14ac:dyDescent="0.25">
      <c r="C241" t="s">
        <v>337</v>
      </c>
      <c r="D241" s="1" t="s">
        <v>348</v>
      </c>
      <c r="E241">
        <v>5</v>
      </c>
      <c r="F241">
        <v>5</v>
      </c>
      <c r="M241" t="str">
        <f t="shared" si="48"/>
        <v>[240]={[3]=5;[2]={["SPRING_FESTIVAL"]=5;};[1]=0x70052CE1;}; --Yellow Dwarf-candle</v>
      </c>
      <c r="N241" t="str">
        <f t="shared" si="49"/>
        <v>[240]={[1]="DIVIDER1"; [2]={["ENGLISH"] = ""; }; };</v>
      </c>
      <c r="O241" t="str">
        <f t="shared" si="50"/>
        <v>[240]={[1]="DIVIDER2"; [2]={["ENGLISH"] = ""; }; };</v>
      </c>
      <c r="P241" t="str">
        <f t="shared" si="51"/>
        <v/>
      </c>
      <c r="Q241" t="str">
        <f t="shared" si="52"/>
        <v>[1]=0x70052CE1;</v>
      </c>
      <c r="R241" t="str">
        <f t="shared" si="53"/>
        <v>[3]=5;</v>
      </c>
      <c r="S241" t="str">
        <f t="shared" si="54"/>
        <v>[2]={["SPRING_FESTIVAL"]=5;};</v>
      </c>
      <c r="T241" t="str">
        <f t="shared" si="55"/>
        <v>["SPRING_FESTIVAL"]=5;</v>
      </c>
      <c r="U241" t="str">
        <f t="shared" si="56"/>
        <v/>
      </c>
      <c r="V241" t="str">
        <f t="shared" si="57"/>
        <v/>
      </c>
      <c r="W241" t="str">
        <f t="shared" si="58"/>
        <v/>
      </c>
      <c r="X241" t="str">
        <f t="shared" si="59"/>
        <v/>
      </c>
      <c r="Y241" t="str">
        <f t="shared" si="60"/>
        <v/>
      </c>
    </row>
    <row r="242" spans="2:25" x14ac:dyDescent="0.25">
      <c r="C242" t="s">
        <v>338</v>
      </c>
      <c r="D242" s="1" t="s">
        <v>349</v>
      </c>
      <c r="E242">
        <v>5</v>
      </c>
      <c r="F242">
        <v>5</v>
      </c>
      <c r="M242" t="str">
        <f t="shared" si="48"/>
        <v>[241]={[3]=5;[2]={["SPRING_FESTIVAL"]=5;};[1]=0x70052CE2;}; --Red Dwarf-candle</v>
      </c>
      <c r="N242" t="str">
        <f t="shared" si="49"/>
        <v>[241]={[1]="DIVIDER1"; [2]={["ENGLISH"] = ""; }; };</v>
      </c>
      <c r="O242" t="str">
        <f t="shared" si="50"/>
        <v>[241]={[1]="DIVIDER2"; [2]={["ENGLISH"] = ""; }; };</v>
      </c>
      <c r="P242" t="str">
        <f t="shared" si="51"/>
        <v/>
      </c>
      <c r="Q242" t="str">
        <f t="shared" si="52"/>
        <v>[1]=0x70052CE2;</v>
      </c>
      <c r="R242" t="str">
        <f t="shared" si="53"/>
        <v>[3]=5;</v>
      </c>
      <c r="S242" t="str">
        <f t="shared" si="54"/>
        <v>[2]={["SPRING_FESTIVAL"]=5;};</v>
      </c>
      <c r="T242" t="str">
        <f t="shared" si="55"/>
        <v>["SPRING_FESTIVAL"]=5;</v>
      </c>
      <c r="U242" t="str">
        <f t="shared" si="56"/>
        <v/>
      </c>
      <c r="V242" t="str">
        <f t="shared" si="57"/>
        <v/>
      </c>
      <c r="W242" t="str">
        <f t="shared" si="58"/>
        <v/>
      </c>
      <c r="X242" t="str">
        <f t="shared" si="59"/>
        <v/>
      </c>
      <c r="Y242" t="str">
        <f t="shared" si="60"/>
        <v/>
      </c>
    </row>
    <row r="243" spans="2:25" x14ac:dyDescent="0.25">
      <c r="C243" t="s">
        <v>339</v>
      </c>
      <c r="D243" s="1" t="s">
        <v>354</v>
      </c>
      <c r="E243">
        <v>5</v>
      </c>
      <c r="F243">
        <v>5</v>
      </c>
      <c r="M243" t="str">
        <f t="shared" si="48"/>
        <v>[242]={[3]=5;[2]={["SPRING_FESTIVAL"]=5;};[1]=0x70052CE3;}; --Green Dwarf-candle</v>
      </c>
      <c r="N243" t="str">
        <f t="shared" si="49"/>
        <v>[242]={[1]="DIVIDER1"; [2]={["ENGLISH"] = ""; }; };</v>
      </c>
      <c r="O243" t="str">
        <f t="shared" si="50"/>
        <v>[242]={[1]="DIVIDER2"; [2]={["ENGLISH"] = ""; }; };</v>
      </c>
      <c r="P243" t="str">
        <f t="shared" si="51"/>
        <v/>
      </c>
      <c r="Q243" t="str">
        <f t="shared" si="52"/>
        <v>[1]=0x70052CE3;</v>
      </c>
      <c r="R243" t="str">
        <f t="shared" si="53"/>
        <v>[3]=5;</v>
      </c>
      <c r="S243" t="str">
        <f t="shared" si="54"/>
        <v>[2]={["SPRING_FESTIVAL"]=5;};</v>
      </c>
      <c r="T243" t="str">
        <f t="shared" si="55"/>
        <v>["SPRING_FESTIVAL"]=5;</v>
      </c>
      <c r="U243" t="str">
        <f t="shared" si="56"/>
        <v/>
      </c>
      <c r="V243" t="str">
        <f t="shared" si="57"/>
        <v/>
      </c>
      <c r="W243" t="str">
        <f t="shared" si="58"/>
        <v/>
      </c>
      <c r="X243" t="str">
        <f t="shared" si="59"/>
        <v/>
      </c>
      <c r="Y243" t="str">
        <f t="shared" si="60"/>
        <v/>
      </c>
    </row>
    <row r="244" spans="2:25" x14ac:dyDescent="0.25">
      <c r="C244" t="s">
        <v>340</v>
      </c>
      <c r="D244" s="1" t="s">
        <v>353</v>
      </c>
      <c r="E244">
        <v>5</v>
      </c>
      <c r="F244">
        <v>5</v>
      </c>
      <c r="M244" t="str">
        <f t="shared" si="48"/>
        <v>[243]={[3]=5;[2]={["SPRING_FESTIVAL"]=5;};[1]=0x70052CE0;}; --Blue Dwarf-candle</v>
      </c>
      <c r="N244" t="str">
        <f t="shared" si="49"/>
        <v>[243]={[1]="DIVIDER1"; [2]={["ENGLISH"] = ""; }; };</v>
      </c>
      <c r="O244" t="str">
        <f t="shared" si="50"/>
        <v>[243]={[1]="DIVIDER2"; [2]={["ENGLISH"] = ""; }; };</v>
      </c>
      <c r="P244" t="str">
        <f t="shared" si="51"/>
        <v/>
      </c>
      <c r="Q244" t="str">
        <f t="shared" si="52"/>
        <v>[1]=0x70052CE0;</v>
      </c>
      <c r="R244" t="str">
        <f t="shared" si="53"/>
        <v>[3]=5;</v>
      </c>
      <c r="S244" t="str">
        <f t="shared" si="54"/>
        <v>[2]={["SPRING_FESTIVAL"]=5;};</v>
      </c>
      <c r="T244" t="str">
        <f t="shared" si="55"/>
        <v>["SPRING_FESTIVAL"]=5;</v>
      </c>
      <c r="U244" t="str">
        <f t="shared" si="56"/>
        <v/>
      </c>
      <c r="V244" t="str">
        <f t="shared" si="57"/>
        <v/>
      </c>
      <c r="W244" t="str">
        <f t="shared" si="58"/>
        <v/>
      </c>
      <c r="X244" t="str">
        <f t="shared" si="59"/>
        <v/>
      </c>
      <c r="Y244" t="str">
        <f t="shared" si="60"/>
        <v/>
      </c>
    </row>
    <row r="245" spans="2:25" x14ac:dyDescent="0.25">
      <c r="C245" t="s">
        <v>341</v>
      </c>
      <c r="D245" s="1" t="s">
        <v>351</v>
      </c>
      <c r="E245">
        <v>5</v>
      </c>
      <c r="F245">
        <v>5</v>
      </c>
      <c r="M245" t="str">
        <f t="shared" si="48"/>
        <v>[244]={[3]=5;[2]={["SPRING_FESTIVAL"]=5;};[1]=0x70052CDD;}; --Orange Dwarf-candle</v>
      </c>
      <c r="N245" t="str">
        <f t="shared" si="49"/>
        <v>[244]={[1]="DIVIDER1"; [2]={["ENGLISH"] = ""; }; };</v>
      </c>
      <c r="O245" t="str">
        <f t="shared" si="50"/>
        <v>[244]={[1]="DIVIDER2"; [2]={["ENGLISH"] = ""; }; };</v>
      </c>
      <c r="P245" t="str">
        <f t="shared" si="51"/>
        <v/>
      </c>
      <c r="Q245" t="str">
        <f t="shared" si="52"/>
        <v>[1]=0x70052CDD;</v>
      </c>
      <c r="R245" t="str">
        <f t="shared" si="53"/>
        <v>[3]=5;</v>
      </c>
      <c r="S245" t="str">
        <f t="shared" si="54"/>
        <v>[2]={["SPRING_FESTIVAL"]=5;};</v>
      </c>
      <c r="T245" t="str">
        <f t="shared" si="55"/>
        <v>["SPRING_FESTIVAL"]=5;</v>
      </c>
      <c r="U245" t="str">
        <f t="shared" si="56"/>
        <v/>
      </c>
      <c r="V245" t="str">
        <f t="shared" si="57"/>
        <v/>
      </c>
      <c r="W245" t="str">
        <f t="shared" si="58"/>
        <v/>
      </c>
      <c r="X245" t="str">
        <f t="shared" si="59"/>
        <v/>
      </c>
      <c r="Y245" t="str">
        <f t="shared" si="60"/>
        <v/>
      </c>
    </row>
    <row r="246" spans="2:25" x14ac:dyDescent="0.25">
      <c r="C246" t="s">
        <v>342</v>
      </c>
      <c r="D246" s="1" t="s">
        <v>352</v>
      </c>
      <c r="E246">
        <v>5</v>
      </c>
      <c r="F246">
        <v>5</v>
      </c>
      <c r="M246" t="str">
        <f t="shared" si="48"/>
        <v>[245]={[3]=5;[2]={["SPRING_FESTIVAL"]=5;};[1]=0x70052CDE;}; --White Dwarf-candle</v>
      </c>
      <c r="N246" t="str">
        <f t="shared" si="49"/>
        <v>[245]={[1]="DIVIDER1"; [2]={["ENGLISH"] = ""; }; };</v>
      </c>
      <c r="O246" t="str">
        <f t="shared" si="50"/>
        <v>[245]={[1]="DIVIDER2"; [2]={["ENGLISH"] = ""; }; };</v>
      </c>
      <c r="P246" t="str">
        <f t="shared" si="51"/>
        <v/>
      </c>
      <c r="Q246" t="str">
        <f t="shared" si="52"/>
        <v>[1]=0x70052CDE;</v>
      </c>
      <c r="R246" t="str">
        <f t="shared" si="53"/>
        <v>[3]=5;</v>
      </c>
      <c r="S246" t="str">
        <f t="shared" si="54"/>
        <v>[2]={["SPRING_FESTIVAL"]=5;};</v>
      </c>
      <c r="T246" t="str">
        <f t="shared" si="55"/>
        <v>["SPRING_FESTIVAL"]=5;</v>
      </c>
      <c r="U246" t="str">
        <f t="shared" si="56"/>
        <v/>
      </c>
      <c r="V246" t="str">
        <f t="shared" si="57"/>
        <v/>
      </c>
      <c r="W246" t="str">
        <f t="shared" si="58"/>
        <v/>
      </c>
      <c r="X246" t="str">
        <f t="shared" si="59"/>
        <v/>
      </c>
      <c r="Y246" t="str">
        <f t="shared" si="60"/>
        <v/>
      </c>
    </row>
    <row r="247" spans="2:25" x14ac:dyDescent="0.25">
      <c r="C247" t="s">
        <v>343</v>
      </c>
      <c r="D247" s="1" t="s">
        <v>350</v>
      </c>
      <c r="E247">
        <v>5</v>
      </c>
      <c r="F247">
        <v>5</v>
      </c>
      <c r="M247" t="str">
        <f t="shared" si="48"/>
        <v>[246]={[3]=5;[2]={["SPRING_FESTIVAL"]=5;};[1]=0x70052CDF;}; --Purple Dwarf-candle</v>
      </c>
      <c r="N247" t="str">
        <f t="shared" si="49"/>
        <v>[246]={[1]="DIVIDER1"; [2]={["ENGLISH"] = ""; }; };</v>
      </c>
      <c r="O247" t="str">
        <f t="shared" si="50"/>
        <v>[246]={[1]="DIVIDER2"; [2]={["ENGLISH"] = ""; }; };</v>
      </c>
      <c r="P247" t="str">
        <f t="shared" si="51"/>
        <v/>
      </c>
      <c r="Q247" t="str">
        <f t="shared" si="52"/>
        <v>[1]=0x70052CDF;</v>
      </c>
      <c r="R247" t="str">
        <f t="shared" si="53"/>
        <v>[3]=5;</v>
      </c>
      <c r="S247" t="str">
        <f t="shared" si="54"/>
        <v>[2]={["SPRING_FESTIVAL"]=5;};</v>
      </c>
      <c r="T247" t="str">
        <f t="shared" si="55"/>
        <v>["SPRING_FESTIVAL"]=5;</v>
      </c>
      <c r="U247" t="str">
        <f t="shared" si="56"/>
        <v/>
      </c>
      <c r="V247" t="str">
        <f t="shared" si="57"/>
        <v/>
      </c>
      <c r="W247" t="str">
        <f t="shared" si="58"/>
        <v/>
      </c>
      <c r="X247" t="str">
        <f t="shared" si="59"/>
        <v/>
      </c>
      <c r="Y247" t="str">
        <f t="shared" si="60"/>
        <v/>
      </c>
    </row>
    <row r="248" spans="2:25" x14ac:dyDescent="0.25">
      <c r="B248" t="s">
        <v>355</v>
      </c>
      <c r="M248" t="str">
        <f t="shared" si="48"/>
        <v>[247]={[1]="DIVIDER2"; [2]={["ENGLISH"] = "Cosmetic Pets"; }; };</v>
      </c>
      <c r="N248" t="str">
        <f t="shared" si="49"/>
        <v>[247]={[1]="DIVIDER1"; [2]={["ENGLISH"] = ""; }; };</v>
      </c>
      <c r="O248" t="str">
        <f t="shared" si="50"/>
        <v>[247]={[1]="DIVIDER2"; [2]={["ENGLISH"] = "Cosmetic Pets"; }; };</v>
      </c>
      <c r="P248" t="str">
        <f t="shared" si="51"/>
        <v/>
      </c>
      <c r="Q248" t="str">
        <f t="shared" si="52"/>
        <v>[1]=;</v>
      </c>
      <c r="R248" t="str">
        <f t="shared" si="53"/>
        <v/>
      </c>
      <c r="S248" t="str">
        <f t="shared" si="54"/>
        <v>[2]={};</v>
      </c>
      <c r="T248" t="str">
        <f t="shared" si="55"/>
        <v/>
      </c>
      <c r="U248" t="str">
        <f t="shared" si="56"/>
        <v/>
      </c>
      <c r="V248" t="str">
        <f t="shared" si="57"/>
        <v/>
      </c>
      <c r="W248" t="str">
        <f t="shared" si="58"/>
        <v/>
      </c>
      <c r="X248" t="str">
        <f t="shared" si="59"/>
        <v/>
      </c>
      <c r="Y248" t="str">
        <f t="shared" si="60"/>
        <v/>
      </c>
    </row>
    <row r="249" spans="2:25" x14ac:dyDescent="0.25">
      <c r="C249" t="s">
        <v>509</v>
      </c>
      <c r="D249" s="1" t="s">
        <v>506</v>
      </c>
      <c r="F249">
        <v>25</v>
      </c>
      <c r="M249" t="str">
        <f t="shared" si="48"/>
        <v>[248]={[2]={["SPRING_FESTIVAL"]=25;};[1]=0x7006544C;}; --Tome of the Tawny Aurochs</v>
      </c>
      <c r="N249" t="str">
        <f t="shared" si="49"/>
        <v>[248]={[1]="DIVIDER1"; [2]={["ENGLISH"] = ""; }; };</v>
      </c>
      <c r="O249" t="str">
        <f t="shared" si="50"/>
        <v>[248]={[1]="DIVIDER2"; [2]={["ENGLISH"] = ""; }; };</v>
      </c>
      <c r="P249" t="str">
        <f t="shared" si="51"/>
        <v/>
      </c>
      <c r="Q249" t="str">
        <f t="shared" si="52"/>
        <v>[1]=0x7006544C;</v>
      </c>
      <c r="R249" t="str">
        <f t="shared" si="53"/>
        <v/>
      </c>
      <c r="S249" t="str">
        <f t="shared" si="54"/>
        <v>[2]={["SPRING_FESTIVAL"]=25;};</v>
      </c>
      <c r="T249" t="str">
        <f t="shared" si="55"/>
        <v>["SPRING_FESTIVAL"]=25;</v>
      </c>
      <c r="U249" t="str">
        <f t="shared" si="56"/>
        <v/>
      </c>
      <c r="V249" t="str">
        <f t="shared" si="57"/>
        <v/>
      </c>
      <c r="W249" t="str">
        <f t="shared" si="58"/>
        <v/>
      </c>
      <c r="X249" t="str">
        <f t="shared" si="59"/>
        <v/>
      </c>
      <c r="Y249" t="str">
        <f t="shared" si="60"/>
        <v/>
      </c>
    </row>
    <row r="250" spans="2:25" x14ac:dyDescent="0.25">
      <c r="C250" t="s">
        <v>510</v>
      </c>
      <c r="D250" s="1" t="s">
        <v>507</v>
      </c>
      <c r="H250">
        <v>30</v>
      </c>
      <c r="M250" t="str">
        <f t="shared" si="48"/>
        <v>[249]={[2]={["GENERIC_MITHRIL"]=30;};[1]=0x70074426;}; --Tome of the Daffodil Celebration Kid</v>
      </c>
      <c r="N250" t="str">
        <f t="shared" si="49"/>
        <v>[249]={[1]="DIVIDER1"; [2]={["ENGLISH"] = ""; }; };</v>
      </c>
      <c r="O250" t="str">
        <f t="shared" si="50"/>
        <v>[249]={[1]="DIVIDER2"; [2]={["ENGLISH"] = ""; }; };</v>
      </c>
      <c r="P250" t="str">
        <f t="shared" si="51"/>
        <v/>
      </c>
      <c r="Q250" t="str">
        <f t="shared" si="52"/>
        <v>[1]=0x70074426;</v>
      </c>
      <c r="R250" t="str">
        <f t="shared" si="53"/>
        <v/>
      </c>
      <c r="S250" t="str">
        <f t="shared" si="54"/>
        <v>[2]={["GENERIC_MITHRIL"]=30;};</v>
      </c>
      <c r="T250" t="str">
        <f t="shared" si="55"/>
        <v/>
      </c>
      <c r="U250" t="str">
        <f t="shared" si="56"/>
        <v/>
      </c>
      <c r="V250" t="str">
        <f t="shared" si="57"/>
        <v>["GENERIC_MITHRIL"]=30;</v>
      </c>
      <c r="W250" t="str">
        <f t="shared" si="58"/>
        <v/>
      </c>
      <c r="X250" t="str">
        <f t="shared" si="59"/>
        <v/>
      </c>
      <c r="Y250" t="str">
        <f t="shared" si="60"/>
        <v/>
      </c>
    </row>
    <row r="251" spans="2:25" x14ac:dyDescent="0.25">
      <c r="C251" t="s">
        <v>511</v>
      </c>
      <c r="D251" s="1" t="s">
        <v>508</v>
      </c>
      <c r="H251">
        <v>30</v>
      </c>
      <c r="M251" t="str">
        <f t="shared" si="48"/>
        <v>[250]={[2]={["GENERIC_MITHRIL"]=30;};[1]=0x7006ED52;}; --Tome of the Hedgehog and Hare Parade</v>
      </c>
      <c r="N251" t="str">
        <f t="shared" si="49"/>
        <v>[250]={[1]="DIVIDER1"; [2]={["ENGLISH"] = ""; }; };</v>
      </c>
      <c r="O251" t="str">
        <f t="shared" si="50"/>
        <v>[250]={[1]="DIVIDER2"; [2]={["ENGLISH"] = ""; }; };</v>
      </c>
      <c r="P251" t="str">
        <f t="shared" si="51"/>
        <v/>
      </c>
      <c r="Q251" t="str">
        <f t="shared" si="52"/>
        <v>[1]=0x7006ED52;</v>
      </c>
      <c r="R251" t="str">
        <f t="shared" si="53"/>
        <v/>
      </c>
      <c r="S251" t="str">
        <f t="shared" si="54"/>
        <v>[2]={["GENERIC_MITHRIL"]=30;};</v>
      </c>
      <c r="T251" t="str">
        <f t="shared" si="55"/>
        <v/>
      </c>
      <c r="U251" t="str">
        <f t="shared" si="56"/>
        <v/>
      </c>
      <c r="V251" t="str">
        <f t="shared" si="57"/>
        <v>["GENERIC_MITHRIL"]=30;</v>
      </c>
      <c r="W251" t="str">
        <f t="shared" si="58"/>
        <v/>
      </c>
      <c r="X251" t="str">
        <f t="shared" si="59"/>
        <v/>
      </c>
      <c r="Y251" t="str">
        <f t="shared" si="60"/>
        <v/>
      </c>
    </row>
    <row r="252" spans="2:25" x14ac:dyDescent="0.25">
      <c r="C252" t="s">
        <v>356</v>
      </c>
      <c r="D252" s="1" t="s">
        <v>371</v>
      </c>
      <c r="H252">
        <v>30</v>
      </c>
      <c r="M252" t="str">
        <f t="shared" si="48"/>
        <v>[251]={[2]={["GENERIC_MITHRIL"]=30;};[1]=0x7006A6DD;}; --Tome of the Perfect Curl Garden Snail</v>
      </c>
      <c r="N252" t="str">
        <f t="shared" si="49"/>
        <v>[251]={[1]="DIVIDER1"; [2]={["ENGLISH"] = ""; }; };</v>
      </c>
      <c r="O252" t="str">
        <f t="shared" si="50"/>
        <v>[251]={[1]="DIVIDER2"; [2]={["ENGLISH"] = ""; }; };</v>
      </c>
      <c r="P252" t="str">
        <f t="shared" si="51"/>
        <v/>
      </c>
      <c r="Q252" t="str">
        <f t="shared" si="52"/>
        <v>[1]=0x7006A6DD;</v>
      </c>
      <c r="R252" t="str">
        <f t="shared" si="53"/>
        <v/>
      </c>
      <c r="S252" t="str">
        <f t="shared" si="54"/>
        <v>[2]={["GENERIC_MITHRIL"]=30;};</v>
      </c>
      <c r="T252" t="str">
        <f t="shared" si="55"/>
        <v/>
      </c>
      <c r="U252" t="str">
        <f t="shared" si="56"/>
        <v/>
      </c>
      <c r="V252" t="str">
        <f t="shared" si="57"/>
        <v>["GENERIC_MITHRIL"]=30;</v>
      </c>
      <c r="W252" t="str">
        <f t="shared" si="58"/>
        <v/>
      </c>
      <c r="X252" t="str">
        <f t="shared" si="59"/>
        <v/>
      </c>
      <c r="Y252" t="str">
        <f t="shared" si="60"/>
        <v/>
      </c>
    </row>
    <row r="253" spans="2:25" x14ac:dyDescent="0.25">
      <c r="C253" t="s">
        <v>357</v>
      </c>
      <c r="D253" s="1" t="s">
        <v>372</v>
      </c>
      <c r="F253">
        <v>25</v>
      </c>
      <c r="M253" t="str">
        <f t="shared" si="48"/>
        <v>[252]={[2]={["SPRING_FESTIVAL"]=25;};[1]=0x70064AC5;}; --Tome of the White Puppy</v>
      </c>
      <c r="N253" t="str">
        <f t="shared" si="49"/>
        <v>[252]={[1]="DIVIDER1"; [2]={["ENGLISH"] = ""; }; };</v>
      </c>
      <c r="O253" t="str">
        <f t="shared" si="50"/>
        <v>[252]={[1]="DIVIDER2"; [2]={["ENGLISH"] = ""; }; };</v>
      </c>
      <c r="P253" t="str">
        <f t="shared" si="51"/>
        <v/>
      </c>
      <c r="Q253" t="str">
        <f t="shared" si="52"/>
        <v>[1]=0x70064AC5;</v>
      </c>
      <c r="R253" t="str">
        <f t="shared" si="53"/>
        <v/>
      </c>
      <c r="S253" t="str">
        <f t="shared" si="54"/>
        <v>[2]={["SPRING_FESTIVAL"]=25;};</v>
      </c>
      <c r="T253" t="str">
        <f t="shared" si="55"/>
        <v>["SPRING_FESTIVAL"]=25;</v>
      </c>
      <c r="U253" t="str">
        <f t="shared" si="56"/>
        <v/>
      </c>
      <c r="V253" t="str">
        <f t="shared" si="57"/>
        <v/>
      </c>
      <c r="W253" t="str">
        <f t="shared" si="58"/>
        <v/>
      </c>
      <c r="X253" t="str">
        <f t="shared" si="59"/>
        <v/>
      </c>
      <c r="Y253" t="str">
        <f t="shared" si="60"/>
        <v/>
      </c>
    </row>
    <row r="254" spans="2:25" x14ac:dyDescent="0.25">
      <c r="C254" t="s">
        <v>358</v>
      </c>
      <c r="D254" s="1" t="s">
        <v>373</v>
      </c>
      <c r="F254">
        <v>25</v>
      </c>
      <c r="M254" t="str">
        <f t="shared" si="48"/>
        <v>[253]={[2]={["SPRING_FESTIVAL"]=25;};[1]=0x70058C2B;}; --Tome of the Wild Spotted Donkey</v>
      </c>
      <c r="N254" t="str">
        <f t="shared" si="49"/>
        <v>[253]={[1]="DIVIDER1"; [2]={["ENGLISH"] = ""; }; };</v>
      </c>
      <c r="O254" t="str">
        <f t="shared" si="50"/>
        <v>[253]={[1]="DIVIDER2"; [2]={["ENGLISH"] = ""; }; };</v>
      </c>
      <c r="P254" t="str">
        <f t="shared" si="51"/>
        <v/>
      </c>
      <c r="Q254" t="str">
        <f t="shared" si="52"/>
        <v>[1]=0x70058C2B;</v>
      </c>
      <c r="R254" t="str">
        <f t="shared" si="53"/>
        <v/>
      </c>
      <c r="S254" t="str">
        <f t="shared" si="54"/>
        <v>[2]={["SPRING_FESTIVAL"]=25;};</v>
      </c>
      <c r="T254" t="str">
        <f t="shared" si="55"/>
        <v>["SPRING_FESTIVAL"]=25;</v>
      </c>
      <c r="U254" t="str">
        <f t="shared" si="56"/>
        <v/>
      </c>
      <c r="V254" t="str">
        <f t="shared" si="57"/>
        <v/>
      </c>
      <c r="W254" t="str">
        <f t="shared" si="58"/>
        <v/>
      </c>
      <c r="X254" t="str">
        <f t="shared" si="59"/>
        <v/>
      </c>
      <c r="Y254" t="str">
        <f t="shared" si="60"/>
        <v/>
      </c>
    </row>
    <row r="255" spans="2:25" x14ac:dyDescent="0.25">
      <c r="C255" t="s">
        <v>359</v>
      </c>
      <c r="D255" s="1" t="s">
        <v>374</v>
      </c>
      <c r="F255">
        <v>25</v>
      </c>
      <c r="M255" t="str">
        <f t="shared" si="48"/>
        <v>[254]={[2]={["SPRING_FESTIVAL"]=25;};[1]=0x70057386;}; --Tome of the Silly Goose</v>
      </c>
      <c r="N255" t="str">
        <f t="shared" si="49"/>
        <v>[254]={[1]="DIVIDER1"; [2]={["ENGLISH"] = ""; }; };</v>
      </c>
      <c r="O255" t="str">
        <f t="shared" si="50"/>
        <v>[254]={[1]="DIVIDER2"; [2]={["ENGLISH"] = ""; }; };</v>
      </c>
      <c r="P255" t="str">
        <f t="shared" si="51"/>
        <v/>
      </c>
      <c r="Q255" t="str">
        <f t="shared" si="52"/>
        <v>[1]=0x70057386;</v>
      </c>
      <c r="R255" t="str">
        <f t="shared" si="53"/>
        <v/>
      </c>
      <c r="S255" t="str">
        <f t="shared" si="54"/>
        <v>[2]={["SPRING_FESTIVAL"]=25;};</v>
      </c>
      <c r="T255" t="str">
        <f t="shared" si="55"/>
        <v>["SPRING_FESTIVAL"]=25;</v>
      </c>
      <c r="U255" t="str">
        <f t="shared" si="56"/>
        <v/>
      </c>
      <c r="V255" t="str">
        <f t="shared" si="57"/>
        <v/>
      </c>
      <c r="W255" t="str">
        <f t="shared" si="58"/>
        <v/>
      </c>
      <c r="X255" t="str">
        <f t="shared" si="59"/>
        <v/>
      </c>
      <c r="Y255" t="str">
        <f t="shared" si="60"/>
        <v/>
      </c>
    </row>
    <row r="256" spans="2:25" x14ac:dyDescent="0.25">
      <c r="C256" t="s">
        <v>360</v>
      </c>
      <c r="D256" s="1" t="s">
        <v>375</v>
      </c>
      <c r="F256">
        <v>25</v>
      </c>
      <c r="M256" t="str">
        <f t="shared" si="48"/>
        <v>[255]={[2]={["SPRING_FESTIVAL"]=25;};[1]=0x7005735D;}; --Tome of the Woodland Rabbit</v>
      </c>
      <c r="N256" t="str">
        <f t="shared" si="49"/>
        <v>[255]={[1]="DIVIDER1"; [2]={["ENGLISH"] = ""; }; };</v>
      </c>
      <c r="O256" t="str">
        <f t="shared" si="50"/>
        <v>[255]={[1]="DIVIDER2"; [2]={["ENGLISH"] = ""; }; };</v>
      </c>
      <c r="P256" t="str">
        <f t="shared" si="51"/>
        <v/>
      </c>
      <c r="Q256" t="str">
        <f t="shared" si="52"/>
        <v>[1]=0x7005735D;</v>
      </c>
      <c r="R256" t="str">
        <f t="shared" si="53"/>
        <v/>
      </c>
      <c r="S256" t="str">
        <f t="shared" si="54"/>
        <v>[2]={["SPRING_FESTIVAL"]=25;};</v>
      </c>
      <c r="T256" t="str">
        <f t="shared" si="55"/>
        <v>["SPRING_FESTIVAL"]=25;</v>
      </c>
      <c r="U256" t="str">
        <f t="shared" si="56"/>
        <v/>
      </c>
      <c r="V256" t="str">
        <f t="shared" si="57"/>
        <v/>
      </c>
      <c r="W256" t="str">
        <f t="shared" si="58"/>
        <v/>
      </c>
      <c r="X256" t="str">
        <f t="shared" si="59"/>
        <v/>
      </c>
      <c r="Y256" t="str">
        <f t="shared" si="60"/>
        <v/>
      </c>
    </row>
    <row r="257" spans="2:25" x14ac:dyDescent="0.25">
      <c r="C257" t="s">
        <v>361</v>
      </c>
      <c r="D257" s="1" t="s">
        <v>376</v>
      </c>
      <c r="F257">
        <v>25</v>
      </c>
      <c r="M257" t="str">
        <f t="shared" si="48"/>
        <v>[256]={[2]={["SPRING_FESTIVAL"]=25;};[1]=0x7005735B;}; --Tome of the White-headed Hawk</v>
      </c>
      <c r="N257" t="str">
        <f t="shared" si="49"/>
        <v>[256]={[1]="DIVIDER1"; [2]={["ENGLISH"] = ""; }; };</v>
      </c>
      <c r="O257" t="str">
        <f t="shared" si="50"/>
        <v>[256]={[1]="DIVIDER2"; [2]={["ENGLISH"] = ""; }; };</v>
      </c>
      <c r="P257" t="str">
        <f t="shared" si="51"/>
        <v/>
      </c>
      <c r="Q257" t="str">
        <f t="shared" si="52"/>
        <v>[1]=0x7005735B;</v>
      </c>
      <c r="R257" t="str">
        <f t="shared" si="53"/>
        <v/>
      </c>
      <c r="S257" t="str">
        <f t="shared" si="54"/>
        <v>[2]={["SPRING_FESTIVAL"]=25;};</v>
      </c>
      <c r="T257" t="str">
        <f t="shared" si="55"/>
        <v>["SPRING_FESTIVAL"]=25;</v>
      </c>
      <c r="U257" t="str">
        <f t="shared" si="56"/>
        <v/>
      </c>
      <c r="V257" t="str">
        <f t="shared" si="57"/>
        <v/>
      </c>
      <c r="W257" t="str">
        <f t="shared" si="58"/>
        <v/>
      </c>
      <c r="X257" t="str">
        <f t="shared" si="59"/>
        <v/>
      </c>
      <c r="Y257" t="str">
        <f t="shared" si="60"/>
        <v/>
      </c>
    </row>
    <row r="258" spans="2:25" x14ac:dyDescent="0.25">
      <c r="C258" t="s">
        <v>362</v>
      </c>
      <c r="D258" s="1" t="s">
        <v>377</v>
      </c>
      <c r="F258">
        <v>25</v>
      </c>
      <c r="M258" t="str">
        <f t="shared" si="48"/>
        <v>[257]={[2]={["SPRING_FESTIVAL"]=25;};[1]=0x7004DA51;}; --Tome of the Male Spring Pheasant</v>
      </c>
      <c r="N258" t="str">
        <f t="shared" si="49"/>
        <v>[257]={[1]="DIVIDER1"; [2]={["ENGLISH"] = ""; }; };</v>
      </c>
      <c r="O258" t="str">
        <f t="shared" si="50"/>
        <v>[257]={[1]="DIVIDER2"; [2]={["ENGLISH"] = ""; }; };</v>
      </c>
      <c r="P258" t="str">
        <f t="shared" si="51"/>
        <v/>
      </c>
      <c r="Q258" t="str">
        <f t="shared" si="52"/>
        <v>[1]=0x7004DA51;</v>
      </c>
      <c r="R258" t="str">
        <f t="shared" si="53"/>
        <v/>
      </c>
      <c r="S258" t="str">
        <f t="shared" si="54"/>
        <v>[2]={["SPRING_FESTIVAL"]=25;};</v>
      </c>
      <c r="T258" t="str">
        <f t="shared" si="55"/>
        <v>["SPRING_FESTIVAL"]=25;</v>
      </c>
      <c r="U258" t="str">
        <f t="shared" si="56"/>
        <v/>
      </c>
      <c r="V258" t="str">
        <f t="shared" si="57"/>
        <v/>
      </c>
      <c r="W258" t="str">
        <f t="shared" si="58"/>
        <v/>
      </c>
      <c r="X258" t="str">
        <f t="shared" si="59"/>
        <v/>
      </c>
      <c r="Y258" t="str">
        <f t="shared" si="60"/>
        <v/>
      </c>
    </row>
    <row r="259" spans="2:25" x14ac:dyDescent="0.25">
      <c r="C259" t="s">
        <v>363</v>
      </c>
      <c r="D259" s="1" t="s">
        <v>378</v>
      </c>
      <c r="F259">
        <v>25</v>
      </c>
      <c r="M259" t="str">
        <f t="shared" ref="M259:M322" si="61">IF(
  NOT(ISBLANK(A259)),
  N259,
  IF(
    NOT(ISBLANK(B259)),
    O259,
    CONCATENATE("[",ROW()-1,"]={",R259,S259,Q259,"};"," --",C259)
  )
)</f>
        <v>[258]={[2]={["SPRING_FESTIVAL"]=25;};[1]=0x7004DA58;}; --Tome of the Female Spring Pheasant</v>
      </c>
      <c r="N259" t="str">
        <f t="shared" ref="N259:N322" si="62">CONCATENATE("[",ROW()-1,"]={[1]=""DIVIDER1""; [2]={[""ENGLISH""] = """,A259,"""; }; ",P259,"};")</f>
        <v>[258]={[1]="DIVIDER1"; [2]={["ENGLISH"] = ""; }; };</v>
      </c>
      <c r="O259" t="str">
        <f t="shared" ref="O259:O322" si="63">CONCATENATE("[",ROW()-1,"]={[1]=""DIVIDER2""; [2]={[""ENGLISH""] = """,B259,"""; }; ",P259,"};")</f>
        <v>[258]={[1]="DIVIDER2"; [2]={["ENGLISH"] = ""; }; };</v>
      </c>
      <c r="P259" t="str">
        <f t="shared" ref="P259:P322" si="64">IF(LEN(L259)&gt;0,CONCATENATE("[""DIVIDER_HEIGHT""] = ",L259,";"),"")</f>
        <v/>
      </c>
      <c r="Q259" t="str">
        <f t="shared" ref="Q259:Q322" si="65">CONCATENATE("[1]=",D259,";")</f>
        <v>[1]=0x7004DA58;</v>
      </c>
      <c r="R259" t="str">
        <f t="shared" ref="R259:R322" si="66">IF(E259&gt;0,CONCATENATE("[3]=",E259,";"),"")</f>
        <v/>
      </c>
      <c r="S259" t="str">
        <f t="shared" ref="S259:S322" si="67">_xlfn.TEXTJOIN("",TRUE,"[2]={",T259:Y259,"};")</f>
        <v>[2]={["SPRING_FESTIVAL"]=25;};</v>
      </c>
      <c r="T259" t="str">
        <f t="shared" ref="T259:T322" si="68">IF(F259&gt;0,CONCATENATE("[""",F$1,"""]=",F259,";"),"")</f>
        <v>["SPRING_FESTIVAL"]=25;</v>
      </c>
      <c r="U259" t="str">
        <f t="shared" ref="U259:U322" si="69">IF(G259&gt;0,CONCATENATE("[""",G$1,"""]=",G259,";"),"")</f>
        <v/>
      </c>
      <c r="V259" t="str">
        <f t="shared" ref="V259:V322" si="70">IF(H259&gt;0,CONCATENATE("[""",H$1,"""]=",H259,";"),"")</f>
        <v/>
      </c>
      <c r="W259" t="str">
        <f t="shared" ref="W259:W322" si="71">IF(I259&gt;0,CONCATENATE("[""",I$1,"""]=",I259,";"),"")</f>
        <v/>
      </c>
      <c r="X259" t="str">
        <f t="shared" ref="X259:X322" si="72">IF(J259&gt;0,CONCATENATE("[""",J$1,"""]=",J259,";"),"")</f>
        <v/>
      </c>
      <c r="Y259" t="str">
        <f t="shared" ref="Y259:Y322" si="73">IF(K259&gt;0,CONCATENATE("[""",K$1,"""]=",K259,";"),"")</f>
        <v/>
      </c>
    </row>
    <row r="260" spans="2:25" x14ac:dyDescent="0.25">
      <c r="C260" t="s">
        <v>364</v>
      </c>
      <c r="D260" s="1" t="s">
        <v>379</v>
      </c>
      <c r="F260">
        <v>25</v>
      </c>
      <c r="M260" t="str">
        <f t="shared" si="61"/>
        <v>[259]={[2]={["SPRING_FESTIVAL"]=25;};[1]=0x7004DA5B;}; --Tome of the Hedgehog</v>
      </c>
      <c r="N260" t="str">
        <f t="shared" si="62"/>
        <v>[259]={[1]="DIVIDER1"; [2]={["ENGLISH"] = ""; }; };</v>
      </c>
      <c r="O260" t="str">
        <f t="shared" si="63"/>
        <v>[259]={[1]="DIVIDER2"; [2]={["ENGLISH"] = ""; }; };</v>
      </c>
      <c r="P260" t="str">
        <f t="shared" si="64"/>
        <v/>
      </c>
      <c r="Q260" t="str">
        <f t="shared" si="65"/>
        <v>[1]=0x7004DA5B;</v>
      </c>
      <c r="R260" t="str">
        <f t="shared" si="66"/>
        <v/>
      </c>
      <c r="S260" t="str">
        <f t="shared" si="67"/>
        <v>[2]={["SPRING_FESTIVAL"]=25;};</v>
      </c>
      <c r="T260" t="str">
        <f t="shared" si="68"/>
        <v>["SPRING_FESTIVAL"]=25;</v>
      </c>
      <c r="U260" t="str">
        <f t="shared" si="69"/>
        <v/>
      </c>
      <c r="V260" t="str">
        <f t="shared" si="70"/>
        <v/>
      </c>
      <c r="W260" t="str">
        <f t="shared" si="71"/>
        <v/>
      </c>
      <c r="X260" t="str">
        <f t="shared" si="72"/>
        <v/>
      </c>
      <c r="Y260" t="str">
        <f t="shared" si="73"/>
        <v/>
      </c>
    </row>
    <row r="261" spans="2:25" x14ac:dyDescent="0.25">
      <c r="C261" t="s">
        <v>365</v>
      </c>
      <c r="D261" s="1" t="s">
        <v>380</v>
      </c>
      <c r="F261">
        <v>25</v>
      </c>
      <c r="M261" t="str">
        <f t="shared" si="61"/>
        <v>[260]={[2]={["SPRING_FESTIVAL"]=25;};[1]=0x700485B6;}; --Tome of the Moth Kite</v>
      </c>
      <c r="N261" t="str">
        <f t="shared" si="62"/>
        <v>[260]={[1]="DIVIDER1"; [2]={["ENGLISH"] = ""; }; };</v>
      </c>
      <c r="O261" t="str">
        <f t="shared" si="63"/>
        <v>[260]={[1]="DIVIDER2"; [2]={["ENGLISH"] = ""; }; };</v>
      </c>
      <c r="P261" t="str">
        <f t="shared" si="64"/>
        <v/>
      </c>
      <c r="Q261" t="str">
        <f t="shared" si="65"/>
        <v>[1]=0x700485B6;</v>
      </c>
      <c r="R261" t="str">
        <f t="shared" si="66"/>
        <v/>
      </c>
      <c r="S261" t="str">
        <f t="shared" si="67"/>
        <v>[2]={["SPRING_FESTIVAL"]=25;};</v>
      </c>
      <c r="T261" t="str">
        <f t="shared" si="68"/>
        <v>["SPRING_FESTIVAL"]=25;</v>
      </c>
      <c r="U261" t="str">
        <f t="shared" si="69"/>
        <v/>
      </c>
      <c r="V261" t="str">
        <f t="shared" si="70"/>
        <v/>
      </c>
      <c r="W261" t="str">
        <f t="shared" si="71"/>
        <v/>
      </c>
      <c r="X261" t="str">
        <f t="shared" si="72"/>
        <v/>
      </c>
      <c r="Y261" t="str">
        <f t="shared" si="73"/>
        <v/>
      </c>
    </row>
    <row r="262" spans="2:25" x14ac:dyDescent="0.25">
      <c r="C262" t="s">
        <v>366</v>
      </c>
      <c r="D262" s="1" t="s">
        <v>381</v>
      </c>
      <c r="F262">
        <v>20</v>
      </c>
      <c r="M262" t="str">
        <f t="shared" si="61"/>
        <v>[261]={[2]={["SPRING_FESTIVAL"]=20;};[1]=0x700485BF;}; --Tome of the Floral Kite</v>
      </c>
      <c r="N262" t="str">
        <f t="shared" si="62"/>
        <v>[261]={[1]="DIVIDER1"; [2]={["ENGLISH"] = ""; }; };</v>
      </c>
      <c r="O262" t="str">
        <f t="shared" si="63"/>
        <v>[261]={[1]="DIVIDER2"; [2]={["ENGLISH"] = ""; }; };</v>
      </c>
      <c r="P262" t="str">
        <f t="shared" si="64"/>
        <v/>
      </c>
      <c r="Q262" t="str">
        <f t="shared" si="65"/>
        <v>[1]=0x700485BF;</v>
      </c>
      <c r="R262" t="str">
        <f t="shared" si="66"/>
        <v/>
      </c>
      <c r="S262" t="str">
        <f t="shared" si="67"/>
        <v>[2]={["SPRING_FESTIVAL"]=20;};</v>
      </c>
      <c r="T262" t="str">
        <f t="shared" si="68"/>
        <v>["SPRING_FESTIVAL"]=20;</v>
      </c>
      <c r="U262" t="str">
        <f t="shared" si="69"/>
        <v/>
      </c>
      <c r="V262" t="str">
        <f t="shared" si="70"/>
        <v/>
      </c>
      <c r="W262" t="str">
        <f t="shared" si="71"/>
        <v/>
      </c>
      <c r="X262" t="str">
        <f t="shared" si="72"/>
        <v/>
      </c>
      <c r="Y262" t="str">
        <f t="shared" si="73"/>
        <v/>
      </c>
    </row>
    <row r="263" spans="2:25" x14ac:dyDescent="0.25">
      <c r="C263" t="s">
        <v>367</v>
      </c>
      <c r="D263" s="1" t="s">
        <v>382</v>
      </c>
      <c r="F263">
        <v>20</v>
      </c>
      <c r="M263" t="str">
        <f t="shared" si="61"/>
        <v>[262]={[2]={["SPRING_FESTIVAL"]=20;};[1]=0x7003F38A;}; --Tome of the Large Shrew</v>
      </c>
      <c r="N263" t="str">
        <f t="shared" si="62"/>
        <v>[262]={[1]="DIVIDER1"; [2]={["ENGLISH"] = ""; }; };</v>
      </c>
      <c r="O263" t="str">
        <f t="shared" si="63"/>
        <v>[262]={[1]="DIVIDER2"; [2]={["ENGLISH"] = ""; }; };</v>
      </c>
      <c r="P263" t="str">
        <f t="shared" si="64"/>
        <v/>
      </c>
      <c r="Q263" t="str">
        <f t="shared" si="65"/>
        <v>[1]=0x7003F38A;</v>
      </c>
      <c r="R263" t="str">
        <f t="shared" si="66"/>
        <v/>
      </c>
      <c r="S263" t="str">
        <f t="shared" si="67"/>
        <v>[2]={["SPRING_FESTIVAL"]=20;};</v>
      </c>
      <c r="T263" t="str">
        <f t="shared" si="68"/>
        <v>["SPRING_FESTIVAL"]=20;</v>
      </c>
      <c r="U263" t="str">
        <f t="shared" si="69"/>
        <v/>
      </c>
      <c r="V263" t="str">
        <f t="shared" si="70"/>
        <v/>
      </c>
      <c r="W263" t="str">
        <f t="shared" si="71"/>
        <v/>
      </c>
      <c r="X263" t="str">
        <f t="shared" si="72"/>
        <v/>
      </c>
      <c r="Y263" t="str">
        <f t="shared" si="73"/>
        <v/>
      </c>
    </row>
    <row r="264" spans="2:25" x14ac:dyDescent="0.25">
      <c r="C264" t="s">
        <v>368</v>
      </c>
      <c r="D264" s="1" t="s">
        <v>383</v>
      </c>
      <c r="F264">
        <v>250</v>
      </c>
      <c r="M264" t="str">
        <f t="shared" si="61"/>
        <v>[263]={[2]={["SPRING_FESTIVAL"]=250;};[1]=0x7003F388;}; --Tome of the Dusty Shrew</v>
      </c>
      <c r="N264" t="str">
        <f t="shared" si="62"/>
        <v>[263]={[1]="DIVIDER1"; [2]={["ENGLISH"] = ""; }; };</v>
      </c>
      <c r="O264" t="str">
        <f t="shared" si="63"/>
        <v>[263]={[1]="DIVIDER2"; [2]={["ENGLISH"] = ""; }; };</v>
      </c>
      <c r="P264" t="str">
        <f t="shared" si="64"/>
        <v/>
      </c>
      <c r="Q264" t="str">
        <f t="shared" si="65"/>
        <v>[1]=0x7003F388;</v>
      </c>
      <c r="R264" t="str">
        <f t="shared" si="66"/>
        <v/>
      </c>
      <c r="S264" t="str">
        <f t="shared" si="67"/>
        <v>[2]={["SPRING_FESTIVAL"]=250;};</v>
      </c>
      <c r="T264" t="str">
        <f t="shared" si="68"/>
        <v>["SPRING_FESTIVAL"]=250;</v>
      </c>
      <c r="U264" t="str">
        <f t="shared" si="69"/>
        <v/>
      </c>
      <c r="V264" t="str">
        <f t="shared" si="70"/>
        <v/>
      </c>
      <c r="W264" t="str">
        <f t="shared" si="71"/>
        <v/>
      </c>
      <c r="X264" t="str">
        <f t="shared" si="72"/>
        <v/>
      </c>
      <c r="Y264" t="str">
        <f t="shared" si="73"/>
        <v/>
      </c>
    </row>
    <row r="265" spans="2:25" x14ac:dyDescent="0.25">
      <c r="C265" t="s">
        <v>369</v>
      </c>
      <c r="D265" s="1" t="s">
        <v>384</v>
      </c>
      <c r="F265">
        <v>50</v>
      </c>
      <c r="M265" t="str">
        <f t="shared" si="61"/>
        <v>[264]={[2]={["SPRING_FESTIVAL"]=50;};[1]=0x7003F38C;}; --Tome of the Plain Shrew</v>
      </c>
      <c r="N265" t="str">
        <f t="shared" si="62"/>
        <v>[264]={[1]="DIVIDER1"; [2]={["ENGLISH"] = ""; }; };</v>
      </c>
      <c r="O265" t="str">
        <f t="shared" si="63"/>
        <v>[264]={[1]="DIVIDER2"; [2]={["ENGLISH"] = ""; }; };</v>
      </c>
      <c r="P265" t="str">
        <f t="shared" si="64"/>
        <v/>
      </c>
      <c r="Q265" t="str">
        <f t="shared" si="65"/>
        <v>[1]=0x7003F38C;</v>
      </c>
      <c r="R265" t="str">
        <f t="shared" si="66"/>
        <v/>
      </c>
      <c r="S265" t="str">
        <f t="shared" si="67"/>
        <v>[2]={["SPRING_FESTIVAL"]=50;};</v>
      </c>
      <c r="T265" t="str">
        <f t="shared" si="68"/>
        <v>["SPRING_FESTIVAL"]=50;</v>
      </c>
      <c r="U265" t="str">
        <f t="shared" si="69"/>
        <v/>
      </c>
      <c r="V265" t="str">
        <f t="shared" si="70"/>
        <v/>
      </c>
      <c r="W265" t="str">
        <f t="shared" si="71"/>
        <v/>
      </c>
      <c r="X265" t="str">
        <f t="shared" si="72"/>
        <v/>
      </c>
      <c r="Y265" t="str">
        <f t="shared" si="73"/>
        <v/>
      </c>
    </row>
    <row r="266" spans="2:25" x14ac:dyDescent="0.25">
      <c r="C266" t="s">
        <v>370</v>
      </c>
      <c r="D266" s="1" t="s">
        <v>385</v>
      </c>
      <c r="F266">
        <v>50</v>
      </c>
      <c r="M266" t="str">
        <f t="shared" si="61"/>
        <v>[265]={[2]={["SPRING_FESTIVAL"]=50;};[1]=0x7003F387;}; --Tome of the Spotted Shrew</v>
      </c>
      <c r="N266" t="str">
        <f t="shared" si="62"/>
        <v>[265]={[1]="DIVIDER1"; [2]={["ENGLISH"] = ""; }; };</v>
      </c>
      <c r="O266" t="str">
        <f t="shared" si="63"/>
        <v>[265]={[1]="DIVIDER2"; [2]={["ENGLISH"] = ""; }; };</v>
      </c>
      <c r="P266" t="str">
        <f t="shared" si="64"/>
        <v/>
      </c>
      <c r="Q266" t="str">
        <f t="shared" si="65"/>
        <v>[1]=0x7003F387;</v>
      </c>
      <c r="R266" t="str">
        <f t="shared" si="66"/>
        <v/>
      </c>
      <c r="S266" t="str">
        <f t="shared" si="67"/>
        <v>[2]={["SPRING_FESTIVAL"]=50;};</v>
      </c>
      <c r="T266" t="str">
        <f t="shared" si="68"/>
        <v>["SPRING_FESTIVAL"]=50;</v>
      </c>
      <c r="U266" t="str">
        <f t="shared" si="69"/>
        <v/>
      </c>
      <c r="V266" t="str">
        <f t="shared" si="70"/>
        <v/>
      </c>
      <c r="W266" t="str">
        <f t="shared" si="71"/>
        <v/>
      </c>
      <c r="X266" t="str">
        <f t="shared" si="72"/>
        <v/>
      </c>
      <c r="Y266" t="str">
        <f t="shared" si="73"/>
        <v/>
      </c>
    </row>
    <row r="267" spans="2:25" x14ac:dyDescent="0.25">
      <c r="B267" t="s">
        <v>386</v>
      </c>
      <c r="M267" t="str">
        <f t="shared" si="61"/>
        <v>[266]={[1]="DIVIDER2"; [2]={["ENGLISH"] = "Gift Boxes"; }; };</v>
      </c>
      <c r="N267" t="str">
        <f t="shared" si="62"/>
        <v>[266]={[1]="DIVIDER1"; [2]={["ENGLISH"] = ""; }; };</v>
      </c>
      <c r="O267" t="str">
        <f t="shared" si="63"/>
        <v>[266]={[1]="DIVIDER2"; [2]={["ENGLISH"] = "Gift Boxes"; }; };</v>
      </c>
      <c r="P267" t="str">
        <f t="shared" si="64"/>
        <v/>
      </c>
      <c r="Q267" t="str">
        <f t="shared" si="65"/>
        <v>[1]=;</v>
      </c>
      <c r="R267" t="str">
        <f t="shared" si="66"/>
        <v/>
      </c>
      <c r="S267" t="str">
        <f t="shared" si="67"/>
        <v>[2]={};</v>
      </c>
      <c r="T267" t="str">
        <f t="shared" si="68"/>
        <v/>
      </c>
      <c r="U267" t="str">
        <f t="shared" si="69"/>
        <v/>
      </c>
      <c r="V267" t="str">
        <f t="shared" si="70"/>
        <v/>
      </c>
      <c r="W267" t="str">
        <f t="shared" si="71"/>
        <v/>
      </c>
      <c r="X267" t="str">
        <f t="shared" si="72"/>
        <v/>
      </c>
      <c r="Y267" t="str">
        <f t="shared" si="73"/>
        <v/>
      </c>
    </row>
    <row r="268" spans="2:25" x14ac:dyDescent="0.25">
      <c r="C268" t="s">
        <v>514</v>
      </c>
      <c r="D268" s="1" t="s">
        <v>512</v>
      </c>
      <c r="F268">
        <v>15</v>
      </c>
      <c r="M268" t="str">
        <f t="shared" si="61"/>
        <v>[267]={[2]={["SPRING_FESTIVAL"]=15;};[1]=0x70074432;}; --Daffodil Celebration Garments - Gift-wrapped Selection Box</v>
      </c>
      <c r="N268" t="str">
        <f t="shared" si="62"/>
        <v>[267]={[1]="DIVIDER1"; [2]={["ENGLISH"] = ""; }; };</v>
      </c>
      <c r="O268" t="str">
        <f t="shared" si="63"/>
        <v>[267]={[1]="DIVIDER2"; [2]={["ENGLISH"] = ""; }; };</v>
      </c>
      <c r="P268" t="str">
        <f t="shared" si="64"/>
        <v/>
      </c>
      <c r="Q268" t="str">
        <f t="shared" si="65"/>
        <v>[1]=0x70074432;</v>
      </c>
      <c r="R268" t="str">
        <f t="shared" si="66"/>
        <v/>
      </c>
      <c r="S268" t="str">
        <f t="shared" si="67"/>
        <v>[2]={["SPRING_FESTIVAL"]=15;};</v>
      </c>
      <c r="T268" t="str">
        <f t="shared" si="68"/>
        <v>["SPRING_FESTIVAL"]=15;</v>
      </c>
      <c r="U268" t="str">
        <f t="shared" si="69"/>
        <v/>
      </c>
      <c r="V268" t="str">
        <f t="shared" si="70"/>
        <v/>
      </c>
      <c r="W268" t="str">
        <f t="shared" si="71"/>
        <v/>
      </c>
      <c r="X268" t="str">
        <f t="shared" si="72"/>
        <v/>
      </c>
      <c r="Y268" t="str">
        <f t="shared" si="73"/>
        <v/>
      </c>
    </row>
    <row r="269" spans="2:25" x14ac:dyDescent="0.25">
      <c r="C269" t="s">
        <v>515</v>
      </c>
      <c r="D269" s="1" t="s">
        <v>513</v>
      </c>
      <c r="F269">
        <v>15</v>
      </c>
      <c r="M269" t="str">
        <f t="shared" si="61"/>
        <v>[268]={[2]={["SPRING_FESTIVAL"]=15;};[1]=0x7006ED5B;}; --Garments of Budding Spring - Gift-wrapped Selection Box</v>
      </c>
      <c r="N269" t="str">
        <f t="shared" si="62"/>
        <v>[268]={[1]="DIVIDER1"; [2]={["ENGLISH"] = ""; }; };</v>
      </c>
      <c r="O269" t="str">
        <f t="shared" si="63"/>
        <v>[268]={[1]="DIVIDER2"; [2]={["ENGLISH"] = ""; }; };</v>
      </c>
      <c r="P269" t="str">
        <f t="shared" si="64"/>
        <v/>
      </c>
      <c r="Q269" t="str">
        <f t="shared" si="65"/>
        <v>[1]=0x7006ED5B;</v>
      </c>
      <c r="R269" t="str">
        <f t="shared" si="66"/>
        <v/>
      </c>
      <c r="S269" t="str">
        <f t="shared" si="67"/>
        <v>[2]={["SPRING_FESTIVAL"]=15;};</v>
      </c>
      <c r="T269" t="str">
        <f t="shared" si="68"/>
        <v>["SPRING_FESTIVAL"]=15;</v>
      </c>
      <c r="U269" t="str">
        <f t="shared" si="69"/>
        <v/>
      </c>
      <c r="V269" t="str">
        <f t="shared" si="70"/>
        <v/>
      </c>
      <c r="W269" t="str">
        <f t="shared" si="71"/>
        <v/>
      </c>
      <c r="X269" t="str">
        <f t="shared" si="72"/>
        <v/>
      </c>
      <c r="Y269" t="str">
        <f t="shared" si="73"/>
        <v/>
      </c>
    </row>
    <row r="270" spans="2:25" x14ac:dyDescent="0.25">
      <c r="C270" t="s">
        <v>387</v>
      </c>
      <c r="D270" s="1" t="s">
        <v>388</v>
      </c>
      <c r="F270">
        <v>15</v>
      </c>
      <c r="M270" t="str">
        <f t="shared" si="61"/>
        <v>[269]={[2]={["SPRING_FESTIVAL"]=15;};[1]=0x7006A6D7;}; --Garments of the Perfect Curl - Gift-wrapped Selection Box</v>
      </c>
      <c r="N270" t="str">
        <f t="shared" si="62"/>
        <v>[269]={[1]="DIVIDER1"; [2]={["ENGLISH"] = ""; }; };</v>
      </c>
      <c r="O270" t="str">
        <f t="shared" si="63"/>
        <v>[269]={[1]="DIVIDER2"; [2]={["ENGLISH"] = ""; }; };</v>
      </c>
      <c r="P270" t="str">
        <f t="shared" si="64"/>
        <v/>
      </c>
      <c r="Q270" t="str">
        <f t="shared" si="65"/>
        <v>[1]=0x7006A6D7;</v>
      </c>
      <c r="R270" t="str">
        <f t="shared" si="66"/>
        <v/>
      </c>
      <c r="S270" t="str">
        <f t="shared" si="67"/>
        <v>[2]={["SPRING_FESTIVAL"]=15;};</v>
      </c>
      <c r="T270" t="str">
        <f t="shared" si="68"/>
        <v>["SPRING_FESTIVAL"]=15;</v>
      </c>
      <c r="U270" t="str">
        <f t="shared" si="69"/>
        <v/>
      </c>
      <c r="V270" t="str">
        <f t="shared" si="70"/>
        <v/>
      </c>
      <c r="W270" t="str">
        <f t="shared" si="71"/>
        <v/>
      </c>
      <c r="X270" t="str">
        <f t="shared" si="72"/>
        <v/>
      </c>
      <c r="Y270" t="str">
        <f t="shared" si="73"/>
        <v/>
      </c>
    </row>
    <row r="271" spans="2:25" x14ac:dyDescent="0.25">
      <c r="C271" t="s">
        <v>389</v>
      </c>
      <c r="D271" s="1" t="s">
        <v>390</v>
      </c>
      <c r="F271">
        <v>15</v>
      </c>
      <c r="M271" t="str">
        <f t="shared" si="61"/>
        <v>[270]={[2]={["SPRING_FESTIVAL"]=15;};[1]=0x70064D70;}; --Cloaks of New Growth - Gift-wrapped Selection Box</v>
      </c>
      <c r="N271" t="str">
        <f t="shared" si="62"/>
        <v>[270]={[1]="DIVIDER1"; [2]={["ENGLISH"] = ""; }; };</v>
      </c>
      <c r="O271" t="str">
        <f t="shared" si="63"/>
        <v>[270]={[1]="DIVIDER2"; [2]={["ENGLISH"] = ""; }; };</v>
      </c>
      <c r="P271" t="str">
        <f t="shared" si="64"/>
        <v/>
      </c>
      <c r="Q271" t="str">
        <f t="shared" si="65"/>
        <v>[1]=0x70064D70;</v>
      </c>
      <c r="R271" t="str">
        <f t="shared" si="66"/>
        <v/>
      </c>
      <c r="S271" t="str">
        <f t="shared" si="67"/>
        <v>[2]={["SPRING_FESTIVAL"]=15;};</v>
      </c>
      <c r="T271" t="str">
        <f t="shared" si="68"/>
        <v>["SPRING_FESTIVAL"]=15;</v>
      </c>
      <c r="U271" t="str">
        <f t="shared" si="69"/>
        <v/>
      </c>
      <c r="V271" t="str">
        <f t="shared" si="70"/>
        <v/>
      </c>
      <c r="W271" t="str">
        <f t="shared" si="71"/>
        <v/>
      </c>
      <c r="X271" t="str">
        <f t="shared" si="72"/>
        <v/>
      </c>
      <c r="Y271" t="str">
        <f t="shared" si="73"/>
        <v/>
      </c>
    </row>
    <row r="272" spans="2:25" x14ac:dyDescent="0.25">
      <c r="C272" t="s">
        <v>391</v>
      </c>
      <c r="D272" s="1" t="s">
        <v>392</v>
      </c>
      <c r="F272">
        <v>15</v>
      </c>
      <c r="M272" t="str">
        <f t="shared" si="61"/>
        <v>[271]={[2]={["SPRING_FESTIVAL"]=15;};[1]=0x7005A414;}; --Merry Fellow and Spring Maid Garments - Gift-wrapped selection box</v>
      </c>
      <c r="N272" t="str">
        <f t="shared" si="62"/>
        <v>[271]={[1]="DIVIDER1"; [2]={["ENGLISH"] = ""; }; };</v>
      </c>
      <c r="O272" t="str">
        <f t="shared" si="63"/>
        <v>[271]={[1]="DIVIDER2"; [2]={["ENGLISH"] = ""; }; };</v>
      </c>
      <c r="P272" t="str">
        <f t="shared" si="64"/>
        <v/>
      </c>
      <c r="Q272" t="str">
        <f t="shared" si="65"/>
        <v>[1]=0x7005A414;</v>
      </c>
      <c r="R272" t="str">
        <f t="shared" si="66"/>
        <v/>
      </c>
      <c r="S272" t="str">
        <f t="shared" si="67"/>
        <v>[2]={["SPRING_FESTIVAL"]=15;};</v>
      </c>
      <c r="T272" t="str">
        <f t="shared" si="68"/>
        <v>["SPRING_FESTIVAL"]=15;</v>
      </c>
      <c r="U272" t="str">
        <f t="shared" si="69"/>
        <v/>
      </c>
      <c r="V272" t="str">
        <f t="shared" si="70"/>
        <v/>
      </c>
      <c r="W272" t="str">
        <f t="shared" si="71"/>
        <v/>
      </c>
      <c r="X272" t="str">
        <f t="shared" si="72"/>
        <v/>
      </c>
      <c r="Y272" t="str">
        <f t="shared" si="73"/>
        <v/>
      </c>
    </row>
    <row r="273" spans="1:25" x14ac:dyDescent="0.25">
      <c r="C273" t="s">
        <v>393</v>
      </c>
      <c r="D273" s="1" t="s">
        <v>394</v>
      </c>
      <c r="F273">
        <v>15</v>
      </c>
      <c r="M273" t="str">
        <f t="shared" si="61"/>
        <v>[272]={[2]={["SPRING_FESTIVAL"]=15;};[1]=0x70056CB6;}; --Garments of the Spring Woods - Gift-wrapped selection box</v>
      </c>
      <c r="N273" t="str">
        <f t="shared" si="62"/>
        <v>[272]={[1]="DIVIDER1"; [2]={["ENGLISH"] = ""; }; };</v>
      </c>
      <c r="O273" t="str">
        <f t="shared" si="63"/>
        <v>[272]={[1]="DIVIDER2"; [2]={["ENGLISH"] = ""; }; };</v>
      </c>
      <c r="P273" t="str">
        <f t="shared" si="64"/>
        <v/>
      </c>
      <c r="Q273" t="str">
        <f t="shared" si="65"/>
        <v>[1]=0x70056CB6;</v>
      </c>
      <c r="R273" t="str">
        <f t="shared" si="66"/>
        <v/>
      </c>
      <c r="S273" t="str">
        <f t="shared" si="67"/>
        <v>[2]={["SPRING_FESTIVAL"]=15;};</v>
      </c>
      <c r="T273" t="str">
        <f t="shared" si="68"/>
        <v>["SPRING_FESTIVAL"]=15;</v>
      </c>
      <c r="U273" t="str">
        <f t="shared" si="69"/>
        <v/>
      </c>
      <c r="V273" t="str">
        <f t="shared" si="70"/>
        <v/>
      </c>
      <c r="W273" t="str">
        <f t="shared" si="71"/>
        <v/>
      </c>
      <c r="X273" t="str">
        <f t="shared" si="72"/>
        <v/>
      </c>
      <c r="Y273" t="str">
        <f t="shared" si="73"/>
        <v/>
      </c>
    </row>
    <row r="274" spans="1:25" x14ac:dyDescent="0.25">
      <c r="C274" t="s">
        <v>395</v>
      </c>
      <c r="D274" s="1" t="s">
        <v>396</v>
      </c>
      <c r="F274">
        <v>13</v>
      </c>
      <c r="M274" t="str">
        <f t="shared" si="61"/>
        <v>[273]={[2]={["SPRING_FESTIVAL"]=13;};[1]=0x70052BEE;}; --Garments of the Mountain Meadow - Gift-wrapped selection box</v>
      </c>
      <c r="N274" t="str">
        <f t="shared" si="62"/>
        <v>[273]={[1]="DIVIDER1"; [2]={["ENGLISH"] = ""; }; };</v>
      </c>
      <c r="O274" t="str">
        <f t="shared" si="63"/>
        <v>[273]={[1]="DIVIDER2"; [2]={["ENGLISH"] = ""; }; };</v>
      </c>
      <c r="P274" t="str">
        <f t="shared" si="64"/>
        <v/>
      </c>
      <c r="Q274" t="str">
        <f t="shared" si="65"/>
        <v>[1]=0x70052BEE;</v>
      </c>
      <c r="R274" t="str">
        <f t="shared" si="66"/>
        <v/>
      </c>
      <c r="S274" t="str">
        <f t="shared" si="67"/>
        <v>[2]={["SPRING_FESTIVAL"]=13;};</v>
      </c>
      <c r="T274" t="str">
        <f t="shared" si="68"/>
        <v>["SPRING_FESTIVAL"]=13;</v>
      </c>
      <c r="U274" t="str">
        <f t="shared" si="69"/>
        <v/>
      </c>
      <c r="V274" t="str">
        <f t="shared" si="70"/>
        <v/>
      </c>
      <c r="W274" t="str">
        <f t="shared" si="71"/>
        <v/>
      </c>
      <c r="X274" t="str">
        <f t="shared" si="72"/>
        <v/>
      </c>
      <c r="Y274" t="str">
        <f t="shared" si="73"/>
        <v/>
      </c>
    </row>
    <row r="275" spans="1:25" x14ac:dyDescent="0.25">
      <c r="C275" t="s">
        <v>397</v>
      </c>
      <c r="D275" s="1" t="s">
        <v>524</v>
      </c>
      <c r="F275">
        <v>13</v>
      </c>
      <c r="M275" t="str">
        <f t="shared" si="61"/>
        <v>[274]={[2]={["SPRING_FESTIVAL"]=13;};[1]=0x7004D82C;}; --Lasgalen Spring Dress - Gift-wrapped</v>
      </c>
      <c r="N275" t="str">
        <f t="shared" si="62"/>
        <v>[274]={[1]="DIVIDER1"; [2]={["ENGLISH"] = ""; }; };</v>
      </c>
      <c r="O275" t="str">
        <f t="shared" si="63"/>
        <v>[274]={[1]="DIVIDER2"; [2]={["ENGLISH"] = ""; }; };</v>
      </c>
      <c r="P275" t="str">
        <f t="shared" si="64"/>
        <v/>
      </c>
      <c r="Q275" t="str">
        <f t="shared" si="65"/>
        <v>[1]=0x7004D82C;</v>
      </c>
      <c r="R275" t="str">
        <f t="shared" si="66"/>
        <v/>
      </c>
      <c r="S275" t="str">
        <f t="shared" si="67"/>
        <v>[2]={["SPRING_FESTIVAL"]=13;};</v>
      </c>
      <c r="T275" t="str">
        <f t="shared" si="68"/>
        <v>["SPRING_FESTIVAL"]=13;</v>
      </c>
      <c r="U275" t="str">
        <f t="shared" si="69"/>
        <v/>
      </c>
      <c r="V275" t="str">
        <f t="shared" si="70"/>
        <v/>
      </c>
      <c r="W275" t="str">
        <f t="shared" si="71"/>
        <v/>
      </c>
      <c r="X275" t="str">
        <f t="shared" si="72"/>
        <v/>
      </c>
      <c r="Y275" t="str">
        <f t="shared" si="73"/>
        <v/>
      </c>
    </row>
    <row r="276" spans="1:25" x14ac:dyDescent="0.25">
      <c r="C276" t="s">
        <v>398</v>
      </c>
      <c r="D276" s="1" t="s">
        <v>525</v>
      </c>
      <c r="F276">
        <v>13</v>
      </c>
      <c r="M276" t="str">
        <f t="shared" si="61"/>
        <v>[275]={[2]={["SPRING_FESTIVAL"]=13;};[1]=0x7004D82D;}; --Lasgalen Spring Tunic and Trousers - Gift-wrapped</v>
      </c>
      <c r="N276" t="str">
        <f t="shared" si="62"/>
        <v>[275]={[1]="DIVIDER1"; [2]={["ENGLISH"] = ""; }; };</v>
      </c>
      <c r="O276" t="str">
        <f t="shared" si="63"/>
        <v>[275]={[1]="DIVIDER2"; [2]={["ENGLISH"] = ""; }; };</v>
      </c>
      <c r="P276" t="str">
        <f t="shared" si="64"/>
        <v/>
      </c>
      <c r="Q276" t="str">
        <f t="shared" si="65"/>
        <v>[1]=0x7004D82D;</v>
      </c>
      <c r="R276" t="str">
        <f t="shared" si="66"/>
        <v/>
      </c>
      <c r="S276" t="str">
        <f t="shared" si="67"/>
        <v>[2]={["SPRING_FESTIVAL"]=13;};</v>
      </c>
      <c r="T276" t="str">
        <f t="shared" si="68"/>
        <v>["SPRING_FESTIVAL"]=13;</v>
      </c>
      <c r="U276" t="str">
        <f t="shared" si="69"/>
        <v/>
      </c>
      <c r="V276" t="str">
        <f t="shared" si="70"/>
        <v/>
      </c>
      <c r="W276" t="str">
        <f t="shared" si="71"/>
        <v/>
      </c>
      <c r="X276" t="str">
        <f t="shared" si="72"/>
        <v/>
      </c>
      <c r="Y276" t="str">
        <f t="shared" si="73"/>
        <v/>
      </c>
    </row>
    <row r="277" spans="1:25" x14ac:dyDescent="0.25">
      <c r="C277" t="s">
        <v>405</v>
      </c>
      <c r="D277" s="1" t="s">
        <v>526</v>
      </c>
      <c r="F277">
        <v>13</v>
      </c>
      <c r="M277" t="str">
        <f t="shared" si="61"/>
        <v>[276]={[2]={["SPRING_FESTIVAL"]=13;};[1]=0x7004D82F;}; --Lasgalen Spring Dress Boots - Gift-wrapped</v>
      </c>
      <c r="N277" t="str">
        <f t="shared" si="62"/>
        <v>[276]={[1]="DIVIDER1"; [2]={["ENGLISH"] = ""; }; };</v>
      </c>
      <c r="O277" t="str">
        <f t="shared" si="63"/>
        <v>[276]={[1]="DIVIDER2"; [2]={["ENGLISH"] = ""; }; };</v>
      </c>
      <c r="P277" t="str">
        <f t="shared" si="64"/>
        <v/>
      </c>
      <c r="Q277" t="str">
        <f t="shared" si="65"/>
        <v>[1]=0x7004D82F;</v>
      </c>
      <c r="R277" t="str">
        <f t="shared" si="66"/>
        <v/>
      </c>
      <c r="S277" t="str">
        <f t="shared" si="67"/>
        <v>[2]={["SPRING_FESTIVAL"]=13;};</v>
      </c>
      <c r="T277" t="str">
        <f t="shared" si="68"/>
        <v>["SPRING_FESTIVAL"]=13;</v>
      </c>
      <c r="U277" t="str">
        <f t="shared" si="69"/>
        <v/>
      </c>
      <c r="V277" t="str">
        <f t="shared" si="70"/>
        <v/>
      </c>
      <c r="W277" t="str">
        <f t="shared" si="71"/>
        <v/>
      </c>
      <c r="X277" t="str">
        <f t="shared" si="72"/>
        <v/>
      </c>
      <c r="Y277" t="str">
        <f t="shared" si="73"/>
        <v/>
      </c>
    </row>
    <row r="278" spans="1:25" x14ac:dyDescent="0.25">
      <c r="C278" t="s">
        <v>399</v>
      </c>
      <c r="D278" s="1" t="s">
        <v>527</v>
      </c>
      <c r="F278">
        <v>13</v>
      </c>
      <c r="M278" t="str">
        <f t="shared" si="61"/>
        <v>[277]={[2]={["SPRING_FESTIVAL"]=13;};[1]=0x7004D836;}; --Lasgalen Spring Pack - Gift-wrapped</v>
      </c>
      <c r="N278" t="str">
        <f t="shared" si="62"/>
        <v>[277]={[1]="DIVIDER1"; [2]={["ENGLISH"] = ""; }; };</v>
      </c>
      <c r="O278" t="str">
        <f t="shared" si="63"/>
        <v>[277]={[1]="DIVIDER2"; [2]={["ENGLISH"] = ""; }; };</v>
      </c>
      <c r="P278" t="str">
        <f t="shared" si="64"/>
        <v/>
      </c>
      <c r="Q278" t="str">
        <f t="shared" si="65"/>
        <v>[1]=0x7004D836;</v>
      </c>
      <c r="R278" t="str">
        <f t="shared" si="66"/>
        <v/>
      </c>
      <c r="S278" t="str">
        <f t="shared" si="67"/>
        <v>[2]={["SPRING_FESTIVAL"]=13;};</v>
      </c>
      <c r="T278" t="str">
        <f t="shared" si="68"/>
        <v>["SPRING_FESTIVAL"]=13;</v>
      </c>
      <c r="U278" t="str">
        <f t="shared" si="69"/>
        <v/>
      </c>
      <c r="V278" t="str">
        <f t="shared" si="70"/>
        <v/>
      </c>
      <c r="W278" t="str">
        <f t="shared" si="71"/>
        <v/>
      </c>
      <c r="X278" t="str">
        <f t="shared" si="72"/>
        <v/>
      </c>
      <c r="Y278" t="str">
        <f t="shared" si="73"/>
        <v/>
      </c>
    </row>
    <row r="279" spans="1:25" x14ac:dyDescent="0.25">
      <c r="C279" t="s">
        <v>400</v>
      </c>
      <c r="D279" s="1" t="s">
        <v>528</v>
      </c>
      <c r="F279">
        <v>13</v>
      </c>
      <c r="M279" t="str">
        <f t="shared" si="61"/>
        <v>[278]={[2]={["SPRING_FESTIVAL"]=13;};[1]=0x700486FA;}; --Cloak of the Moth - Gift Wrapped</v>
      </c>
      <c r="N279" t="str">
        <f t="shared" si="62"/>
        <v>[278]={[1]="DIVIDER1"; [2]={["ENGLISH"] = ""; }; };</v>
      </c>
      <c r="O279" t="str">
        <f t="shared" si="63"/>
        <v>[278]={[1]="DIVIDER2"; [2]={["ENGLISH"] = ""; }; };</v>
      </c>
      <c r="P279" t="str">
        <f t="shared" si="64"/>
        <v/>
      </c>
      <c r="Q279" t="str">
        <f t="shared" si="65"/>
        <v>[1]=0x700486FA;</v>
      </c>
      <c r="R279" t="str">
        <f t="shared" si="66"/>
        <v/>
      </c>
      <c r="S279" t="str">
        <f t="shared" si="67"/>
        <v>[2]={["SPRING_FESTIVAL"]=13;};</v>
      </c>
      <c r="T279" t="str">
        <f t="shared" si="68"/>
        <v>["SPRING_FESTIVAL"]=13;</v>
      </c>
      <c r="U279" t="str">
        <f t="shared" si="69"/>
        <v/>
      </c>
      <c r="V279" t="str">
        <f t="shared" si="70"/>
        <v/>
      </c>
      <c r="W279" t="str">
        <f t="shared" si="71"/>
        <v/>
      </c>
      <c r="X279" t="str">
        <f t="shared" si="72"/>
        <v/>
      </c>
      <c r="Y279" t="str">
        <f t="shared" si="73"/>
        <v/>
      </c>
    </row>
    <row r="280" spans="1:25" x14ac:dyDescent="0.25">
      <c r="C280" t="s">
        <v>401</v>
      </c>
      <c r="D280" s="1" t="s">
        <v>529</v>
      </c>
      <c r="F280">
        <v>13</v>
      </c>
      <c r="M280" t="str">
        <f t="shared" si="61"/>
        <v>[279]={[2]={["SPRING_FESTIVAL"]=13;};[1]=0x700486F3;}; --Hooded Cloak of the Moth - Gift Wrapped</v>
      </c>
      <c r="N280" t="str">
        <f t="shared" si="62"/>
        <v>[279]={[1]="DIVIDER1"; [2]={["ENGLISH"] = ""; }; };</v>
      </c>
      <c r="O280" t="str">
        <f t="shared" si="63"/>
        <v>[279]={[1]="DIVIDER2"; [2]={["ENGLISH"] = ""; }; };</v>
      </c>
      <c r="P280" t="str">
        <f t="shared" si="64"/>
        <v/>
      </c>
      <c r="Q280" t="str">
        <f t="shared" si="65"/>
        <v>[1]=0x700486F3;</v>
      </c>
      <c r="R280" t="str">
        <f t="shared" si="66"/>
        <v/>
      </c>
      <c r="S280" t="str">
        <f t="shared" si="67"/>
        <v>[2]={["SPRING_FESTIVAL"]=13;};</v>
      </c>
      <c r="T280" t="str">
        <f t="shared" si="68"/>
        <v>["SPRING_FESTIVAL"]=13;</v>
      </c>
      <c r="U280" t="str">
        <f t="shared" si="69"/>
        <v/>
      </c>
      <c r="V280" t="str">
        <f t="shared" si="70"/>
        <v/>
      </c>
      <c r="W280" t="str">
        <f t="shared" si="71"/>
        <v/>
      </c>
      <c r="X280" t="str">
        <f t="shared" si="72"/>
        <v/>
      </c>
      <c r="Y280" t="str">
        <f t="shared" si="73"/>
        <v/>
      </c>
    </row>
    <row r="281" spans="1:25" x14ac:dyDescent="0.25">
      <c r="C281" t="s">
        <v>402</v>
      </c>
      <c r="D281" s="1" t="s">
        <v>530</v>
      </c>
      <c r="F281">
        <v>13</v>
      </c>
      <c r="M281" t="str">
        <f t="shared" si="61"/>
        <v>[280]={[2]={["SPRING_FESTIVAL"]=13;};[1]=0x700486FC;}; --Short-sleeved Dress of the Moth - Gift Wrapped</v>
      </c>
      <c r="N281" t="str">
        <f t="shared" si="62"/>
        <v>[280]={[1]="DIVIDER1"; [2]={["ENGLISH"] = ""; }; };</v>
      </c>
      <c r="O281" t="str">
        <f t="shared" si="63"/>
        <v>[280]={[1]="DIVIDER2"; [2]={["ENGLISH"] = ""; }; };</v>
      </c>
      <c r="P281" t="str">
        <f t="shared" si="64"/>
        <v/>
      </c>
      <c r="Q281" t="str">
        <f t="shared" si="65"/>
        <v>[1]=0x700486FC;</v>
      </c>
      <c r="R281" t="str">
        <f t="shared" si="66"/>
        <v/>
      </c>
      <c r="S281" t="str">
        <f t="shared" si="67"/>
        <v>[2]={["SPRING_FESTIVAL"]=13;};</v>
      </c>
      <c r="T281" t="str">
        <f t="shared" si="68"/>
        <v>["SPRING_FESTIVAL"]=13;</v>
      </c>
      <c r="U281" t="str">
        <f t="shared" si="69"/>
        <v/>
      </c>
      <c r="V281" t="str">
        <f t="shared" si="70"/>
        <v/>
      </c>
      <c r="W281" t="str">
        <f t="shared" si="71"/>
        <v/>
      </c>
      <c r="X281" t="str">
        <f t="shared" si="72"/>
        <v/>
      </c>
      <c r="Y281" t="str">
        <f t="shared" si="73"/>
        <v/>
      </c>
    </row>
    <row r="282" spans="1:25" x14ac:dyDescent="0.25">
      <c r="C282" t="s">
        <v>403</v>
      </c>
      <c r="D282" s="1" t="s">
        <v>531</v>
      </c>
      <c r="F282">
        <v>13</v>
      </c>
      <c r="M282" t="str">
        <f t="shared" si="61"/>
        <v>[281]={[2]={["SPRING_FESTIVAL"]=13;};[1]=0x700487AF;}; --Long-sleeved Dress of the Moth - Gift Wrapped</v>
      </c>
      <c r="N282" t="str">
        <f t="shared" si="62"/>
        <v>[281]={[1]="DIVIDER1"; [2]={["ENGLISH"] = ""; }; };</v>
      </c>
      <c r="O282" t="str">
        <f t="shared" si="63"/>
        <v>[281]={[1]="DIVIDER2"; [2]={["ENGLISH"] = ""; }; };</v>
      </c>
      <c r="P282" t="str">
        <f t="shared" si="64"/>
        <v/>
      </c>
      <c r="Q282" t="str">
        <f t="shared" si="65"/>
        <v>[1]=0x700487AF;</v>
      </c>
      <c r="R282" t="str">
        <f t="shared" si="66"/>
        <v/>
      </c>
      <c r="S282" t="str">
        <f t="shared" si="67"/>
        <v>[2]={["SPRING_FESTIVAL"]=13;};</v>
      </c>
      <c r="T282" t="str">
        <f t="shared" si="68"/>
        <v>["SPRING_FESTIVAL"]=13;</v>
      </c>
      <c r="U282" t="str">
        <f t="shared" si="69"/>
        <v/>
      </c>
      <c r="V282" t="str">
        <f t="shared" si="70"/>
        <v/>
      </c>
      <c r="W282" t="str">
        <f t="shared" si="71"/>
        <v/>
      </c>
      <c r="X282" t="str">
        <f t="shared" si="72"/>
        <v/>
      </c>
      <c r="Y282" t="str">
        <f t="shared" si="73"/>
        <v/>
      </c>
    </row>
    <row r="283" spans="1:25" x14ac:dyDescent="0.25">
      <c r="C283" t="s">
        <v>404</v>
      </c>
      <c r="D283" s="1" t="s">
        <v>532</v>
      </c>
      <c r="F283">
        <v>13</v>
      </c>
      <c r="M283" t="str">
        <f t="shared" si="61"/>
        <v>[282]={[2]={["SPRING_FESTIVAL"]=13;};[1]=0x700487B4;}; --Sleeveless Dress of the Moth - Gift Wrapped</v>
      </c>
      <c r="N283" t="str">
        <f t="shared" si="62"/>
        <v>[282]={[1]="DIVIDER1"; [2]={["ENGLISH"] = ""; }; };</v>
      </c>
      <c r="O283" t="str">
        <f t="shared" si="63"/>
        <v>[282]={[1]="DIVIDER2"; [2]={["ENGLISH"] = ""; }; };</v>
      </c>
      <c r="P283" t="str">
        <f t="shared" si="64"/>
        <v/>
      </c>
      <c r="Q283" t="str">
        <f t="shared" si="65"/>
        <v>[1]=0x700487B4;</v>
      </c>
      <c r="R283" t="str">
        <f t="shared" si="66"/>
        <v/>
      </c>
      <c r="S283" t="str">
        <f t="shared" si="67"/>
        <v>[2]={["SPRING_FESTIVAL"]=13;};</v>
      </c>
      <c r="T283" t="str">
        <f t="shared" si="68"/>
        <v>["SPRING_FESTIVAL"]=13;</v>
      </c>
      <c r="U283" t="str">
        <f t="shared" si="69"/>
        <v/>
      </c>
      <c r="V283" t="str">
        <f t="shared" si="70"/>
        <v/>
      </c>
      <c r="W283" t="str">
        <f t="shared" si="71"/>
        <v/>
      </c>
      <c r="X283" t="str">
        <f t="shared" si="72"/>
        <v/>
      </c>
      <c r="Y283" t="str">
        <f t="shared" si="73"/>
        <v/>
      </c>
    </row>
    <row r="284" spans="1:25" x14ac:dyDescent="0.25">
      <c r="A284" t="s">
        <v>553</v>
      </c>
      <c r="M284" t="str">
        <f t="shared" si="61"/>
        <v>[283]={[1]="DIVIDER1"; [2]={["ENGLISH"] = "Verbena Greenhand (Festival Grounds)"; }; };</v>
      </c>
      <c r="N284" t="str">
        <f t="shared" si="62"/>
        <v>[283]={[1]="DIVIDER1"; [2]={["ENGLISH"] = "Verbena Greenhand (Festival Grounds)"; }; };</v>
      </c>
      <c r="O284" t="str">
        <f t="shared" si="63"/>
        <v>[283]={[1]="DIVIDER2"; [2]={["ENGLISH"] = ""; }; };</v>
      </c>
      <c r="P284" t="str">
        <f t="shared" si="64"/>
        <v/>
      </c>
      <c r="Q284" t="str">
        <f t="shared" si="65"/>
        <v>[1]=;</v>
      </c>
      <c r="R284" t="str">
        <f t="shared" si="66"/>
        <v/>
      </c>
      <c r="S284" t="str">
        <f t="shared" si="67"/>
        <v>[2]={};</v>
      </c>
      <c r="T284" t="str">
        <f t="shared" si="68"/>
        <v/>
      </c>
      <c r="U284" t="str">
        <f t="shared" si="69"/>
        <v/>
      </c>
      <c r="V284" t="str">
        <f t="shared" si="70"/>
        <v/>
      </c>
      <c r="W284" t="str">
        <f t="shared" si="71"/>
        <v/>
      </c>
      <c r="X284" t="str">
        <f t="shared" si="72"/>
        <v/>
      </c>
      <c r="Y284" t="str">
        <f t="shared" si="73"/>
        <v/>
      </c>
    </row>
    <row r="285" spans="1:25" x14ac:dyDescent="0.25">
      <c r="B285" t="s">
        <v>521</v>
      </c>
      <c r="M285" t="str">
        <f t="shared" si="61"/>
        <v>[284]={[1]="DIVIDER2"; [2]={["ENGLISH"] = "Spring Festivities"; }; };</v>
      </c>
      <c r="N285" t="str">
        <f t="shared" si="62"/>
        <v>[284]={[1]="DIVIDER1"; [2]={["ENGLISH"] = ""; }; };</v>
      </c>
      <c r="O285" t="str">
        <f t="shared" si="63"/>
        <v>[284]={[1]="DIVIDER2"; [2]={["ENGLISH"] = "Spring Festivities"; }; };</v>
      </c>
      <c r="P285" t="str">
        <f t="shared" si="64"/>
        <v/>
      </c>
      <c r="Q285" t="str">
        <f t="shared" si="65"/>
        <v>[1]=;</v>
      </c>
      <c r="R285" t="str">
        <f t="shared" si="66"/>
        <v/>
      </c>
      <c r="S285" t="str">
        <f t="shared" si="67"/>
        <v>[2]={};</v>
      </c>
      <c r="T285" t="str">
        <f t="shared" si="68"/>
        <v/>
      </c>
      <c r="U285" t="str">
        <f t="shared" si="69"/>
        <v/>
      </c>
      <c r="V285" t="str">
        <f t="shared" si="70"/>
        <v/>
      </c>
      <c r="W285" t="str">
        <f t="shared" si="71"/>
        <v/>
      </c>
      <c r="X285" t="str">
        <f t="shared" si="72"/>
        <v/>
      </c>
      <c r="Y285" t="str">
        <f t="shared" si="73"/>
        <v/>
      </c>
    </row>
    <row r="286" spans="1:25" x14ac:dyDescent="0.25">
      <c r="C286" t="s">
        <v>520</v>
      </c>
      <c r="D286" s="1" t="s">
        <v>518</v>
      </c>
      <c r="G286">
        <v>15</v>
      </c>
      <c r="M286" t="str">
        <f t="shared" si="61"/>
        <v>[285]={[2]={["GENERIC_FESTIVITY"]=15;};[1]=0x7007444C;}; --Large Daffodil Celebration Banner</v>
      </c>
      <c r="N286" t="str">
        <f t="shared" si="62"/>
        <v>[285]={[1]="DIVIDER1"; [2]={["ENGLISH"] = ""; }; };</v>
      </c>
      <c r="O286" t="str">
        <f t="shared" si="63"/>
        <v>[285]={[1]="DIVIDER2"; [2]={["ENGLISH"] = ""; }; };</v>
      </c>
      <c r="P286" t="str">
        <f t="shared" si="64"/>
        <v/>
      </c>
      <c r="Q286" t="str">
        <f t="shared" si="65"/>
        <v>[1]=0x7007444C;</v>
      </c>
      <c r="R286" t="str">
        <f t="shared" si="66"/>
        <v/>
      </c>
      <c r="S286" t="str">
        <f t="shared" si="67"/>
        <v>[2]={["GENERIC_FESTIVITY"]=15;};</v>
      </c>
      <c r="T286" t="str">
        <f t="shared" si="68"/>
        <v/>
      </c>
      <c r="U286" t="str">
        <f t="shared" si="69"/>
        <v>["GENERIC_FESTIVITY"]=15;</v>
      </c>
      <c r="V286" t="str">
        <f t="shared" si="70"/>
        <v/>
      </c>
      <c r="W286" t="str">
        <f t="shared" si="71"/>
        <v/>
      </c>
      <c r="X286" t="str">
        <f t="shared" si="72"/>
        <v/>
      </c>
      <c r="Y286" t="str">
        <f t="shared" si="73"/>
        <v/>
      </c>
    </row>
    <row r="287" spans="1:25" x14ac:dyDescent="0.25">
      <c r="C287" t="s">
        <v>510</v>
      </c>
      <c r="D287" s="1" t="s">
        <v>507</v>
      </c>
      <c r="G287">
        <v>25</v>
      </c>
      <c r="M287" t="str">
        <f t="shared" si="61"/>
        <v>[286]={[2]={["GENERIC_FESTIVITY"]=25;};[1]=0x70074426;}; --Tome of the Daffodil Celebration Kid</v>
      </c>
      <c r="N287" t="str">
        <f t="shared" si="62"/>
        <v>[286]={[1]="DIVIDER1"; [2]={["ENGLISH"] = ""; }; };</v>
      </c>
      <c r="O287" t="str">
        <f t="shared" si="63"/>
        <v>[286]={[1]="DIVIDER2"; [2]={["ENGLISH"] = ""; }; };</v>
      </c>
      <c r="P287" t="str">
        <f t="shared" si="64"/>
        <v/>
      </c>
      <c r="Q287" t="str">
        <f t="shared" si="65"/>
        <v>[1]=0x70074426;</v>
      </c>
      <c r="R287" t="str">
        <f t="shared" si="66"/>
        <v/>
      </c>
      <c r="S287" t="str">
        <f t="shared" si="67"/>
        <v>[2]={["GENERIC_FESTIVITY"]=25;};</v>
      </c>
      <c r="T287" t="str">
        <f t="shared" si="68"/>
        <v/>
      </c>
      <c r="U287" t="str">
        <f t="shared" si="69"/>
        <v>["GENERIC_FESTIVITY"]=25;</v>
      </c>
      <c r="V287" t="str">
        <f t="shared" si="70"/>
        <v/>
      </c>
      <c r="W287" t="str">
        <f t="shared" si="71"/>
        <v/>
      </c>
      <c r="X287" t="str">
        <f t="shared" si="72"/>
        <v/>
      </c>
      <c r="Y287" t="str">
        <f t="shared" si="73"/>
        <v/>
      </c>
    </row>
    <row r="288" spans="1:25" x14ac:dyDescent="0.25">
      <c r="C288" t="s">
        <v>519</v>
      </c>
      <c r="D288" s="1" t="s">
        <v>517</v>
      </c>
      <c r="G288">
        <v>35</v>
      </c>
      <c r="M288" t="str">
        <f t="shared" si="61"/>
        <v>[287]={[2]={["GENERIC_FESTIVITY"]=35;};[1]=0x70074450;}; --Daffodil Flag-bearer Bauble</v>
      </c>
      <c r="N288" t="str">
        <f t="shared" si="62"/>
        <v>[287]={[1]="DIVIDER1"; [2]={["ENGLISH"] = ""; }; };</v>
      </c>
      <c r="O288" t="str">
        <f t="shared" si="63"/>
        <v>[287]={[1]="DIVIDER2"; [2]={["ENGLISH"] = ""; }; };</v>
      </c>
      <c r="P288" t="str">
        <f t="shared" si="64"/>
        <v/>
      </c>
      <c r="Q288" t="str">
        <f t="shared" si="65"/>
        <v>[1]=0x70074450;</v>
      </c>
      <c r="R288" t="str">
        <f t="shared" si="66"/>
        <v/>
      </c>
      <c r="S288" t="str">
        <f t="shared" si="67"/>
        <v>[2]={["GENERIC_FESTIVITY"]=35;};</v>
      </c>
      <c r="T288" t="str">
        <f t="shared" si="68"/>
        <v/>
      </c>
      <c r="U288" t="str">
        <f t="shared" si="69"/>
        <v>["GENERIC_FESTIVITY"]=35;</v>
      </c>
      <c r="V288" t="str">
        <f t="shared" si="70"/>
        <v/>
      </c>
      <c r="W288" t="str">
        <f t="shared" si="71"/>
        <v/>
      </c>
      <c r="X288" t="str">
        <f t="shared" si="72"/>
        <v/>
      </c>
      <c r="Y288" t="str">
        <f t="shared" si="73"/>
        <v/>
      </c>
    </row>
    <row r="289" spans="3:25" x14ac:dyDescent="0.25">
      <c r="C289" t="s">
        <v>511</v>
      </c>
      <c r="D289" s="1" t="s">
        <v>508</v>
      </c>
      <c r="G289">
        <v>25</v>
      </c>
      <c r="M289" t="str">
        <f t="shared" si="61"/>
        <v>[288]={[2]={["GENERIC_FESTIVITY"]=25;};[1]=0x7006ED52;}; --Tome of the Hedgehog and Hare Parade</v>
      </c>
      <c r="N289" t="str">
        <f t="shared" si="62"/>
        <v>[288]={[1]="DIVIDER1"; [2]={["ENGLISH"] = ""; }; };</v>
      </c>
      <c r="O289" t="str">
        <f t="shared" si="63"/>
        <v>[288]={[1]="DIVIDER2"; [2]={["ENGLISH"] = ""; }; };</v>
      </c>
      <c r="P289" t="str">
        <f t="shared" si="64"/>
        <v/>
      </c>
      <c r="Q289" t="str">
        <f t="shared" si="65"/>
        <v>[1]=0x7006ED52;</v>
      </c>
      <c r="R289" t="str">
        <f t="shared" si="66"/>
        <v/>
      </c>
      <c r="S289" t="str">
        <f t="shared" si="67"/>
        <v>[2]={["GENERIC_FESTIVITY"]=25;};</v>
      </c>
      <c r="T289" t="str">
        <f t="shared" si="68"/>
        <v/>
      </c>
      <c r="U289" t="str">
        <f t="shared" si="69"/>
        <v>["GENERIC_FESTIVITY"]=25;</v>
      </c>
      <c r="V289" t="str">
        <f t="shared" si="70"/>
        <v/>
      </c>
      <c r="W289" t="str">
        <f t="shared" si="71"/>
        <v/>
      </c>
      <c r="X289" t="str">
        <f t="shared" si="72"/>
        <v/>
      </c>
      <c r="Y289" t="str">
        <f t="shared" si="73"/>
        <v/>
      </c>
    </row>
    <row r="290" spans="3:25" x14ac:dyDescent="0.25">
      <c r="C290" t="s">
        <v>356</v>
      </c>
      <c r="D290" s="1" t="s">
        <v>371</v>
      </c>
      <c r="G290">
        <v>20</v>
      </c>
      <c r="M290" t="str">
        <f t="shared" si="61"/>
        <v>[289]={[2]={["GENERIC_FESTIVITY"]=20;};[1]=0x7006A6DD;}; --Tome of the Perfect Curl Garden Snail</v>
      </c>
      <c r="N290" t="str">
        <f t="shared" si="62"/>
        <v>[289]={[1]="DIVIDER1"; [2]={["ENGLISH"] = ""; }; };</v>
      </c>
      <c r="O290" t="str">
        <f t="shared" si="63"/>
        <v>[289]={[1]="DIVIDER2"; [2]={["ENGLISH"] = ""; }; };</v>
      </c>
      <c r="P290" t="str">
        <f t="shared" si="64"/>
        <v/>
      </c>
      <c r="Q290" t="str">
        <f t="shared" si="65"/>
        <v>[1]=0x7006A6DD;</v>
      </c>
      <c r="R290" t="str">
        <f t="shared" si="66"/>
        <v/>
      </c>
      <c r="S290" t="str">
        <f t="shared" si="67"/>
        <v>[2]={["GENERIC_FESTIVITY"]=20;};</v>
      </c>
      <c r="T290" t="str">
        <f t="shared" si="68"/>
        <v/>
      </c>
      <c r="U290" t="str">
        <f t="shared" si="69"/>
        <v>["GENERIC_FESTIVITY"]=20;</v>
      </c>
      <c r="V290" t="str">
        <f t="shared" si="70"/>
        <v/>
      </c>
      <c r="W290" t="str">
        <f t="shared" si="71"/>
        <v/>
      </c>
      <c r="X290" t="str">
        <f t="shared" si="72"/>
        <v/>
      </c>
      <c r="Y290" t="str">
        <f t="shared" si="73"/>
        <v/>
      </c>
    </row>
    <row r="291" spans="3:25" x14ac:dyDescent="0.25">
      <c r="C291" t="s">
        <v>406</v>
      </c>
      <c r="D291" s="1" t="s">
        <v>522</v>
      </c>
      <c r="G291">
        <v>25</v>
      </c>
      <c r="M291" t="str">
        <f t="shared" si="61"/>
        <v>[290]={[2]={["GENERIC_FESTIVITY"]=25;};[1]=0x70064AC3;}; --Cosmetic Shield of New Growth</v>
      </c>
      <c r="N291" t="str">
        <f t="shared" si="62"/>
        <v>[290]={[1]="DIVIDER1"; [2]={["ENGLISH"] = ""; }; };</v>
      </c>
      <c r="O291" t="str">
        <f t="shared" si="63"/>
        <v>[290]={[1]="DIVIDER2"; [2]={["ENGLISH"] = ""; }; };</v>
      </c>
      <c r="P291" t="str">
        <f t="shared" si="64"/>
        <v/>
      </c>
      <c r="Q291" t="str">
        <f t="shared" si="65"/>
        <v>[1]=0x70064AC3;</v>
      </c>
      <c r="R291" t="str">
        <f t="shared" si="66"/>
        <v/>
      </c>
      <c r="S291" t="str">
        <f t="shared" si="67"/>
        <v>[2]={["GENERIC_FESTIVITY"]=25;};</v>
      </c>
      <c r="T291" t="str">
        <f t="shared" si="68"/>
        <v/>
      </c>
      <c r="U291" t="str">
        <f t="shared" si="69"/>
        <v>["GENERIC_FESTIVITY"]=25;</v>
      </c>
      <c r="V291" t="str">
        <f t="shared" si="70"/>
        <v/>
      </c>
      <c r="W291" t="str">
        <f t="shared" si="71"/>
        <v/>
      </c>
      <c r="X291" t="str">
        <f t="shared" si="72"/>
        <v/>
      </c>
      <c r="Y291" t="str">
        <f t="shared" si="73"/>
        <v/>
      </c>
    </row>
    <row r="292" spans="3:25" x14ac:dyDescent="0.25">
      <c r="C292" t="s">
        <v>407</v>
      </c>
      <c r="D292" s="1" t="s">
        <v>523</v>
      </c>
      <c r="G292">
        <v>20</v>
      </c>
      <c r="M292" t="str">
        <f t="shared" si="61"/>
        <v>[291]={[2]={["GENERIC_FESTIVITY"]=20;};[1]=0x70064193;}; --Tome of the Adorable Sickle-fly</v>
      </c>
      <c r="N292" t="str">
        <f t="shared" si="62"/>
        <v>[291]={[1]="DIVIDER1"; [2]={["ENGLISH"] = ""; }; };</v>
      </c>
      <c r="O292" t="str">
        <f t="shared" si="63"/>
        <v>[291]={[1]="DIVIDER2"; [2]={["ENGLISH"] = ""; }; };</v>
      </c>
      <c r="P292" t="str">
        <f t="shared" si="64"/>
        <v/>
      </c>
      <c r="Q292" t="str">
        <f t="shared" si="65"/>
        <v>[1]=0x70064193;</v>
      </c>
      <c r="R292" t="str">
        <f t="shared" si="66"/>
        <v/>
      </c>
      <c r="S292" t="str">
        <f t="shared" si="67"/>
        <v>[2]={["GENERIC_FESTIVITY"]=20;};</v>
      </c>
      <c r="T292" t="str">
        <f t="shared" si="68"/>
        <v/>
      </c>
      <c r="U292" t="str">
        <f t="shared" si="69"/>
        <v>["GENERIC_FESTIVITY"]=20;</v>
      </c>
      <c r="V292" t="str">
        <f t="shared" si="70"/>
        <v/>
      </c>
      <c r="W292" t="str">
        <f t="shared" si="71"/>
        <v/>
      </c>
      <c r="X292" t="str">
        <f t="shared" si="72"/>
        <v/>
      </c>
      <c r="Y292" t="str">
        <f t="shared" si="73"/>
        <v/>
      </c>
    </row>
    <row r="293" spans="3:25" x14ac:dyDescent="0.25">
      <c r="C293" t="s">
        <v>408</v>
      </c>
      <c r="D293" s="1" t="s">
        <v>533</v>
      </c>
      <c r="G293">
        <v>30</v>
      </c>
      <c r="M293" t="str">
        <f t="shared" si="61"/>
        <v>[292]={[2]={["GENERIC_FESTIVITY"]=30;};[1]=0x70056F11;}; --Vines of Naruhel</v>
      </c>
      <c r="N293" t="str">
        <f t="shared" si="62"/>
        <v>[292]={[1]="DIVIDER1"; [2]={["ENGLISH"] = ""; }; };</v>
      </c>
      <c r="O293" t="str">
        <f t="shared" si="63"/>
        <v>[292]={[1]="DIVIDER2"; [2]={["ENGLISH"] = ""; }; };</v>
      </c>
      <c r="P293" t="str">
        <f t="shared" si="64"/>
        <v/>
      </c>
      <c r="Q293" t="str">
        <f t="shared" si="65"/>
        <v>[1]=0x70056F11;</v>
      </c>
      <c r="R293" t="str">
        <f t="shared" si="66"/>
        <v/>
      </c>
      <c r="S293" t="str">
        <f t="shared" si="67"/>
        <v>[2]={["GENERIC_FESTIVITY"]=30;};</v>
      </c>
      <c r="T293" t="str">
        <f t="shared" si="68"/>
        <v/>
      </c>
      <c r="U293" t="str">
        <f t="shared" si="69"/>
        <v>["GENERIC_FESTIVITY"]=30;</v>
      </c>
      <c r="V293" t="str">
        <f t="shared" si="70"/>
        <v/>
      </c>
      <c r="W293" t="str">
        <f t="shared" si="71"/>
        <v/>
      </c>
      <c r="X293" t="str">
        <f t="shared" si="72"/>
        <v/>
      </c>
      <c r="Y293" t="str">
        <f t="shared" si="73"/>
        <v/>
      </c>
    </row>
    <row r="294" spans="3:25" x14ac:dyDescent="0.25">
      <c r="C294" t="s">
        <v>409</v>
      </c>
      <c r="D294" s="1" t="s">
        <v>534</v>
      </c>
      <c r="G294">
        <v>30</v>
      </c>
      <c r="M294" t="str">
        <f t="shared" si="61"/>
        <v>[293]={[2]={["GENERIC_FESTIVITY"]=30;};[1]=0x70056F13;}; --Crown of Naruhel</v>
      </c>
      <c r="N294" t="str">
        <f t="shared" si="62"/>
        <v>[293]={[1]="DIVIDER1"; [2]={["ENGLISH"] = ""; }; };</v>
      </c>
      <c r="O294" t="str">
        <f t="shared" si="63"/>
        <v>[293]={[1]="DIVIDER2"; [2]={["ENGLISH"] = ""; }; };</v>
      </c>
      <c r="P294" t="str">
        <f t="shared" si="64"/>
        <v/>
      </c>
      <c r="Q294" t="str">
        <f t="shared" si="65"/>
        <v>[1]=0x70056F13;</v>
      </c>
      <c r="R294" t="str">
        <f t="shared" si="66"/>
        <v/>
      </c>
      <c r="S294" t="str">
        <f t="shared" si="67"/>
        <v>[2]={["GENERIC_FESTIVITY"]=30;};</v>
      </c>
      <c r="T294" t="str">
        <f t="shared" si="68"/>
        <v/>
      </c>
      <c r="U294" t="str">
        <f t="shared" si="69"/>
        <v>["GENERIC_FESTIVITY"]=30;</v>
      </c>
      <c r="V294" t="str">
        <f t="shared" si="70"/>
        <v/>
      </c>
      <c r="W294" t="str">
        <f t="shared" si="71"/>
        <v/>
      </c>
      <c r="X294" t="str">
        <f t="shared" si="72"/>
        <v/>
      </c>
      <c r="Y294" t="str">
        <f t="shared" si="73"/>
        <v/>
      </c>
    </row>
    <row r="295" spans="3:25" x14ac:dyDescent="0.25">
      <c r="C295" t="s">
        <v>410</v>
      </c>
      <c r="D295" s="1" t="s">
        <v>535</v>
      </c>
      <c r="G295">
        <v>30</v>
      </c>
      <c r="M295" t="str">
        <f t="shared" si="61"/>
        <v>[294]={[2]={["GENERIC_FESTIVITY"]=30;};[1]=0x70056F12;}; --Naruhel's Shawl</v>
      </c>
      <c r="N295" t="str">
        <f t="shared" si="62"/>
        <v>[294]={[1]="DIVIDER1"; [2]={["ENGLISH"] = ""; }; };</v>
      </c>
      <c r="O295" t="str">
        <f t="shared" si="63"/>
        <v>[294]={[1]="DIVIDER2"; [2]={["ENGLISH"] = ""; }; };</v>
      </c>
      <c r="P295" t="str">
        <f t="shared" si="64"/>
        <v/>
      </c>
      <c r="Q295" t="str">
        <f t="shared" si="65"/>
        <v>[1]=0x70056F12;</v>
      </c>
      <c r="R295" t="str">
        <f t="shared" si="66"/>
        <v/>
      </c>
      <c r="S295" t="str">
        <f t="shared" si="67"/>
        <v>[2]={["GENERIC_FESTIVITY"]=30;};</v>
      </c>
      <c r="T295" t="str">
        <f t="shared" si="68"/>
        <v/>
      </c>
      <c r="U295" t="str">
        <f t="shared" si="69"/>
        <v>["GENERIC_FESTIVITY"]=30;</v>
      </c>
      <c r="V295" t="str">
        <f t="shared" si="70"/>
        <v/>
      </c>
      <c r="W295" t="str">
        <f t="shared" si="71"/>
        <v/>
      </c>
      <c r="X295" t="str">
        <f t="shared" si="72"/>
        <v/>
      </c>
      <c r="Y295" t="str">
        <f t="shared" si="73"/>
        <v/>
      </c>
    </row>
    <row r="296" spans="3:25" x14ac:dyDescent="0.25">
      <c r="C296" t="s">
        <v>411</v>
      </c>
      <c r="D296" s="1" t="s">
        <v>536</v>
      </c>
      <c r="G296">
        <v>30</v>
      </c>
      <c r="M296" t="str">
        <f t="shared" si="61"/>
        <v>[295]={[2]={["GENERIC_FESTIVITY"]=30;};[1]=0x70056F10;}; --Naruhel's Vine Dress</v>
      </c>
      <c r="N296" t="str">
        <f t="shared" si="62"/>
        <v>[295]={[1]="DIVIDER1"; [2]={["ENGLISH"] = ""; }; };</v>
      </c>
      <c r="O296" t="str">
        <f t="shared" si="63"/>
        <v>[295]={[1]="DIVIDER2"; [2]={["ENGLISH"] = ""; }; };</v>
      </c>
      <c r="P296" t="str">
        <f t="shared" si="64"/>
        <v/>
      </c>
      <c r="Q296" t="str">
        <f t="shared" si="65"/>
        <v>[1]=0x70056F10;</v>
      </c>
      <c r="R296" t="str">
        <f t="shared" si="66"/>
        <v/>
      </c>
      <c r="S296" t="str">
        <f t="shared" si="67"/>
        <v>[2]={["GENERIC_FESTIVITY"]=30;};</v>
      </c>
      <c r="T296" t="str">
        <f t="shared" si="68"/>
        <v/>
      </c>
      <c r="U296" t="str">
        <f t="shared" si="69"/>
        <v>["GENERIC_FESTIVITY"]=30;</v>
      </c>
      <c r="V296" t="str">
        <f t="shared" si="70"/>
        <v/>
      </c>
      <c r="W296" t="str">
        <f t="shared" si="71"/>
        <v/>
      </c>
      <c r="X296" t="str">
        <f t="shared" si="72"/>
        <v/>
      </c>
      <c r="Y296" t="str">
        <f t="shared" si="73"/>
        <v/>
      </c>
    </row>
    <row r="297" spans="3:25" x14ac:dyDescent="0.25">
      <c r="C297" t="s">
        <v>412</v>
      </c>
      <c r="D297" s="1" t="s">
        <v>537</v>
      </c>
      <c r="G297">
        <v>20</v>
      </c>
      <c r="M297" t="str">
        <f t="shared" si="61"/>
        <v>[296]={[2]={["GENERIC_FESTIVITY"]=20;};[1]=0x7005A3C8;}; --Honeycomb Cloak</v>
      </c>
      <c r="N297" t="str">
        <f t="shared" si="62"/>
        <v>[296]={[1]="DIVIDER1"; [2]={["ENGLISH"] = ""; }; };</v>
      </c>
      <c r="O297" t="str">
        <f t="shared" si="63"/>
        <v>[296]={[1]="DIVIDER2"; [2]={["ENGLISH"] = ""; }; };</v>
      </c>
      <c r="P297" t="str">
        <f t="shared" si="64"/>
        <v/>
      </c>
      <c r="Q297" t="str">
        <f t="shared" si="65"/>
        <v>[1]=0x7005A3C8;</v>
      </c>
      <c r="R297" t="str">
        <f t="shared" si="66"/>
        <v/>
      </c>
      <c r="S297" t="str">
        <f t="shared" si="67"/>
        <v>[2]={["GENERIC_FESTIVITY"]=20;};</v>
      </c>
      <c r="T297" t="str">
        <f t="shared" si="68"/>
        <v/>
      </c>
      <c r="U297" t="str">
        <f t="shared" si="69"/>
        <v>["GENERIC_FESTIVITY"]=20;</v>
      </c>
      <c r="V297" t="str">
        <f t="shared" si="70"/>
        <v/>
      </c>
      <c r="W297" t="str">
        <f t="shared" si="71"/>
        <v/>
      </c>
      <c r="X297" t="str">
        <f t="shared" si="72"/>
        <v/>
      </c>
      <c r="Y297" t="str">
        <f t="shared" si="73"/>
        <v/>
      </c>
    </row>
    <row r="298" spans="3:25" x14ac:dyDescent="0.25">
      <c r="C298" t="s">
        <v>413</v>
      </c>
      <c r="D298" s="1" t="s">
        <v>538</v>
      </c>
      <c r="G298">
        <v>20</v>
      </c>
      <c r="M298" t="str">
        <f t="shared" si="61"/>
        <v>[297]={[2]={["GENERIC_FESTIVITY"]=20;};[1]=0x7005A3C9;}; --Hooded Honeycomb Cloak</v>
      </c>
      <c r="N298" t="str">
        <f t="shared" si="62"/>
        <v>[297]={[1]="DIVIDER1"; [2]={["ENGLISH"] = ""; }; };</v>
      </c>
      <c r="O298" t="str">
        <f t="shared" si="63"/>
        <v>[297]={[1]="DIVIDER2"; [2]={["ENGLISH"] = ""; }; };</v>
      </c>
      <c r="P298" t="str">
        <f t="shared" si="64"/>
        <v/>
      </c>
      <c r="Q298" t="str">
        <f t="shared" si="65"/>
        <v>[1]=0x7005A3C9;</v>
      </c>
      <c r="R298" t="str">
        <f t="shared" si="66"/>
        <v/>
      </c>
      <c r="S298" t="str">
        <f t="shared" si="67"/>
        <v>[2]={["GENERIC_FESTIVITY"]=20;};</v>
      </c>
      <c r="T298" t="str">
        <f t="shared" si="68"/>
        <v/>
      </c>
      <c r="U298" t="str">
        <f t="shared" si="69"/>
        <v>["GENERIC_FESTIVITY"]=20;</v>
      </c>
      <c r="V298" t="str">
        <f t="shared" si="70"/>
        <v/>
      </c>
      <c r="W298" t="str">
        <f t="shared" si="71"/>
        <v/>
      </c>
      <c r="X298" t="str">
        <f t="shared" si="72"/>
        <v/>
      </c>
      <c r="Y298" t="str">
        <f t="shared" si="73"/>
        <v/>
      </c>
    </row>
    <row r="299" spans="3:25" x14ac:dyDescent="0.25">
      <c r="C299" t="s">
        <v>414</v>
      </c>
      <c r="D299" s="1" t="s">
        <v>539</v>
      </c>
      <c r="G299">
        <v>25</v>
      </c>
      <c r="M299" t="str">
        <f t="shared" si="61"/>
        <v>[298]={[2]={["GENERIC_FESTIVITY"]=25;};[1]=0x7005A3E8;}; --Honey Goat</v>
      </c>
      <c r="N299" t="str">
        <f t="shared" si="62"/>
        <v>[298]={[1]="DIVIDER1"; [2]={["ENGLISH"] = ""; }; };</v>
      </c>
      <c r="O299" t="str">
        <f t="shared" si="63"/>
        <v>[298]={[1]="DIVIDER2"; [2]={["ENGLISH"] = ""; }; };</v>
      </c>
      <c r="P299" t="str">
        <f t="shared" si="64"/>
        <v/>
      </c>
      <c r="Q299" t="str">
        <f t="shared" si="65"/>
        <v>[1]=0x7005A3E8;</v>
      </c>
      <c r="R299" t="str">
        <f t="shared" si="66"/>
        <v/>
      </c>
      <c r="S299" t="str">
        <f t="shared" si="67"/>
        <v>[2]={["GENERIC_FESTIVITY"]=25;};</v>
      </c>
      <c r="T299" t="str">
        <f t="shared" si="68"/>
        <v/>
      </c>
      <c r="U299" t="str">
        <f t="shared" si="69"/>
        <v>["GENERIC_FESTIVITY"]=25;</v>
      </c>
      <c r="V299" t="str">
        <f t="shared" si="70"/>
        <v/>
      </c>
      <c r="W299" t="str">
        <f t="shared" si="71"/>
        <v/>
      </c>
      <c r="X299" t="str">
        <f t="shared" si="72"/>
        <v/>
      </c>
      <c r="Y299" t="str">
        <f t="shared" si="73"/>
        <v/>
      </c>
    </row>
    <row r="300" spans="3:25" x14ac:dyDescent="0.25">
      <c r="C300" t="s">
        <v>415</v>
      </c>
      <c r="D300" s="1" t="s">
        <v>540</v>
      </c>
      <c r="G300">
        <v>5</v>
      </c>
      <c r="M300" t="str">
        <f t="shared" si="61"/>
        <v>[299]={[2]={["GENERIC_FESTIVITY"]=5;};[1]=0x7005A3FF;}; --Lossarnach Lily</v>
      </c>
      <c r="N300" t="str">
        <f t="shared" si="62"/>
        <v>[299]={[1]="DIVIDER1"; [2]={["ENGLISH"] = ""; }; };</v>
      </c>
      <c r="O300" t="str">
        <f t="shared" si="63"/>
        <v>[299]={[1]="DIVIDER2"; [2]={["ENGLISH"] = ""; }; };</v>
      </c>
      <c r="P300" t="str">
        <f t="shared" si="64"/>
        <v/>
      </c>
      <c r="Q300" t="str">
        <f t="shared" si="65"/>
        <v>[1]=0x7005A3FF;</v>
      </c>
      <c r="R300" t="str">
        <f t="shared" si="66"/>
        <v/>
      </c>
      <c r="S300" t="str">
        <f t="shared" si="67"/>
        <v>[2]={["GENERIC_FESTIVITY"]=5;};</v>
      </c>
      <c r="T300" t="str">
        <f t="shared" si="68"/>
        <v/>
      </c>
      <c r="U300" t="str">
        <f t="shared" si="69"/>
        <v>["GENERIC_FESTIVITY"]=5;</v>
      </c>
      <c r="V300" t="str">
        <f t="shared" si="70"/>
        <v/>
      </c>
      <c r="W300" t="str">
        <f t="shared" si="71"/>
        <v/>
      </c>
      <c r="X300" t="str">
        <f t="shared" si="72"/>
        <v/>
      </c>
      <c r="Y300" t="str">
        <f t="shared" si="73"/>
        <v/>
      </c>
    </row>
    <row r="301" spans="3:25" x14ac:dyDescent="0.25">
      <c r="C301" t="s">
        <v>416</v>
      </c>
      <c r="D301" s="1" t="s">
        <v>541</v>
      </c>
      <c r="G301">
        <v>15</v>
      </c>
      <c r="M301" t="str">
        <f t="shared" si="61"/>
        <v>[300]={[2]={["GENERIC_FESTIVITY"]=15;};[1]=0x7005A3FE;}; --Lossarnach Great-lily</v>
      </c>
      <c r="N301" t="str">
        <f t="shared" si="62"/>
        <v>[300]={[1]="DIVIDER1"; [2]={["ENGLISH"] = ""; }; };</v>
      </c>
      <c r="O301" t="str">
        <f t="shared" si="63"/>
        <v>[300]={[1]="DIVIDER2"; [2]={["ENGLISH"] = ""; }; };</v>
      </c>
      <c r="P301" t="str">
        <f t="shared" si="64"/>
        <v/>
      </c>
      <c r="Q301" t="str">
        <f t="shared" si="65"/>
        <v>[1]=0x7005A3FE;</v>
      </c>
      <c r="R301" t="str">
        <f t="shared" si="66"/>
        <v/>
      </c>
      <c r="S301" t="str">
        <f t="shared" si="67"/>
        <v>[2]={["GENERIC_FESTIVITY"]=15;};</v>
      </c>
      <c r="T301" t="str">
        <f t="shared" si="68"/>
        <v/>
      </c>
      <c r="U301" t="str">
        <f t="shared" si="69"/>
        <v>["GENERIC_FESTIVITY"]=15;</v>
      </c>
      <c r="V301" t="str">
        <f t="shared" si="70"/>
        <v/>
      </c>
      <c r="W301" t="str">
        <f t="shared" si="71"/>
        <v/>
      </c>
      <c r="X301" t="str">
        <f t="shared" si="72"/>
        <v/>
      </c>
      <c r="Y301" t="str">
        <f t="shared" si="73"/>
        <v/>
      </c>
    </row>
    <row r="302" spans="3:25" x14ac:dyDescent="0.25">
      <c r="C302" t="s">
        <v>417</v>
      </c>
      <c r="D302" s="1" t="s">
        <v>542</v>
      </c>
      <c r="G302">
        <v>10</v>
      </c>
      <c r="M302" t="str">
        <f t="shared" si="61"/>
        <v>[301]={[2]={["GENERIC_FESTIVITY"]=10;};[1]=0x7005A057;}; --Green Spring Flower Banner</v>
      </c>
      <c r="N302" t="str">
        <f t="shared" si="62"/>
        <v>[301]={[1]="DIVIDER1"; [2]={["ENGLISH"] = ""; }; };</v>
      </c>
      <c r="O302" t="str">
        <f t="shared" si="63"/>
        <v>[301]={[1]="DIVIDER2"; [2]={["ENGLISH"] = ""; }; };</v>
      </c>
      <c r="P302" t="str">
        <f t="shared" si="64"/>
        <v/>
      </c>
      <c r="Q302" t="str">
        <f t="shared" si="65"/>
        <v>[1]=0x7005A057;</v>
      </c>
      <c r="R302" t="str">
        <f t="shared" si="66"/>
        <v/>
      </c>
      <c r="S302" t="str">
        <f t="shared" si="67"/>
        <v>[2]={["GENERIC_FESTIVITY"]=10;};</v>
      </c>
      <c r="T302" t="str">
        <f t="shared" si="68"/>
        <v/>
      </c>
      <c r="U302" t="str">
        <f t="shared" si="69"/>
        <v>["GENERIC_FESTIVITY"]=10;</v>
      </c>
      <c r="V302" t="str">
        <f t="shared" si="70"/>
        <v/>
      </c>
      <c r="W302" t="str">
        <f t="shared" si="71"/>
        <v/>
      </c>
      <c r="X302" t="str">
        <f t="shared" si="72"/>
        <v/>
      </c>
      <c r="Y302" t="str">
        <f t="shared" si="73"/>
        <v/>
      </c>
    </row>
    <row r="303" spans="3:25" x14ac:dyDescent="0.25">
      <c r="C303" t="s">
        <v>418</v>
      </c>
      <c r="D303" s="1" t="s">
        <v>543</v>
      </c>
      <c r="G303">
        <v>10</v>
      </c>
      <c r="M303" t="str">
        <f t="shared" si="61"/>
        <v>[302]={[2]={["GENERIC_FESTIVITY"]=10;};[1]=0x7005A054;}; --Purple Spring Flower Banner</v>
      </c>
      <c r="N303" t="str">
        <f t="shared" si="62"/>
        <v>[302]={[1]="DIVIDER1"; [2]={["ENGLISH"] = ""; }; };</v>
      </c>
      <c r="O303" t="str">
        <f t="shared" si="63"/>
        <v>[302]={[1]="DIVIDER2"; [2]={["ENGLISH"] = ""; }; };</v>
      </c>
      <c r="P303" t="str">
        <f t="shared" si="64"/>
        <v/>
      </c>
      <c r="Q303" t="str">
        <f t="shared" si="65"/>
        <v>[1]=0x7005A054;</v>
      </c>
      <c r="R303" t="str">
        <f t="shared" si="66"/>
        <v/>
      </c>
      <c r="S303" t="str">
        <f t="shared" si="67"/>
        <v>[2]={["GENERIC_FESTIVITY"]=10;};</v>
      </c>
      <c r="T303" t="str">
        <f t="shared" si="68"/>
        <v/>
      </c>
      <c r="U303" t="str">
        <f t="shared" si="69"/>
        <v>["GENERIC_FESTIVITY"]=10;</v>
      </c>
      <c r="V303" t="str">
        <f t="shared" si="70"/>
        <v/>
      </c>
      <c r="W303" t="str">
        <f t="shared" si="71"/>
        <v/>
      </c>
      <c r="X303" t="str">
        <f t="shared" si="72"/>
        <v/>
      </c>
      <c r="Y303" t="str">
        <f t="shared" si="73"/>
        <v/>
      </c>
    </row>
    <row r="304" spans="3:25" x14ac:dyDescent="0.25">
      <c r="C304" t="s">
        <v>419</v>
      </c>
      <c r="D304" s="1" t="s">
        <v>544</v>
      </c>
      <c r="G304">
        <v>10</v>
      </c>
      <c r="M304" t="str">
        <f t="shared" si="61"/>
        <v>[303]={[2]={["GENERIC_FESTIVITY"]=10;};[1]=0x7005A3EB;}; --Gammer's Best Hall Bench</v>
      </c>
      <c r="N304" t="str">
        <f t="shared" si="62"/>
        <v>[303]={[1]="DIVIDER1"; [2]={["ENGLISH"] = ""; }; };</v>
      </c>
      <c r="O304" t="str">
        <f t="shared" si="63"/>
        <v>[303]={[1]="DIVIDER2"; [2]={["ENGLISH"] = ""; }; };</v>
      </c>
      <c r="P304" t="str">
        <f t="shared" si="64"/>
        <v/>
      </c>
      <c r="Q304" t="str">
        <f t="shared" si="65"/>
        <v>[1]=0x7005A3EB;</v>
      </c>
      <c r="R304" t="str">
        <f t="shared" si="66"/>
        <v/>
      </c>
      <c r="S304" t="str">
        <f t="shared" si="67"/>
        <v>[2]={["GENERIC_FESTIVITY"]=10;};</v>
      </c>
      <c r="T304" t="str">
        <f t="shared" si="68"/>
        <v/>
      </c>
      <c r="U304" t="str">
        <f t="shared" si="69"/>
        <v>["GENERIC_FESTIVITY"]=10;</v>
      </c>
      <c r="V304" t="str">
        <f t="shared" si="70"/>
        <v/>
      </c>
      <c r="W304" t="str">
        <f t="shared" si="71"/>
        <v/>
      </c>
      <c r="X304" t="str">
        <f t="shared" si="72"/>
        <v/>
      </c>
      <c r="Y304" t="str">
        <f t="shared" si="73"/>
        <v/>
      </c>
    </row>
    <row r="305" spans="1:25" x14ac:dyDescent="0.25">
      <c r="C305" t="s">
        <v>420</v>
      </c>
      <c r="D305" s="1" t="s">
        <v>545</v>
      </c>
      <c r="G305">
        <v>10</v>
      </c>
      <c r="M305" t="str">
        <f t="shared" si="61"/>
        <v>[304]={[2]={["GENERIC_FESTIVITY"]=10;};[1]=0x7005A3F5;}; --Gammer's Best Arm Chair</v>
      </c>
      <c r="N305" t="str">
        <f t="shared" si="62"/>
        <v>[304]={[1]="DIVIDER1"; [2]={["ENGLISH"] = ""; }; };</v>
      </c>
      <c r="O305" t="str">
        <f t="shared" si="63"/>
        <v>[304]={[1]="DIVIDER2"; [2]={["ENGLISH"] = ""; }; };</v>
      </c>
      <c r="P305" t="str">
        <f t="shared" si="64"/>
        <v/>
      </c>
      <c r="Q305" t="str">
        <f t="shared" si="65"/>
        <v>[1]=0x7005A3F5;</v>
      </c>
      <c r="R305" t="str">
        <f t="shared" si="66"/>
        <v/>
      </c>
      <c r="S305" t="str">
        <f t="shared" si="67"/>
        <v>[2]={["GENERIC_FESTIVITY"]=10;};</v>
      </c>
      <c r="T305" t="str">
        <f t="shared" si="68"/>
        <v/>
      </c>
      <c r="U305" t="str">
        <f t="shared" si="69"/>
        <v>["GENERIC_FESTIVITY"]=10;</v>
      </c>
      <c r="V305" t="str">
        <f t="shared" si="70"/>
        <v/>
      </c>
      <c r="W305" t="str">
        <f t="shared" si="71"/>
        <v/>
      </c>
      <c r="X305" t="str">
        <f t="shared" si="72"/>
        <v/>
      </c>
      <c r="Y305" t="str">
        <f t="shared" si="73"/>
        <v/>
      </c>
    </row>
    <row r="306" spans="1:25" x14ac:dyDescent="0.25">
      <c r="C306" t="s">
        <v>421</v>
      </c>
      <c r="D306" s="1" t="s">
        <v>546</v>
      </c>
      <c r="G306">
        <v>10</v>
      </c>
      <c r="M306" t="str">
        <f t="shared" si="61"/>
        <v>[305]={[2]={["GENERIC_FESTIVITY"]=10;};[1]=0x7005A3F1;}; --Gammer's Tea Table</v>
      </c>
      <c r="N306" t="str">
        <f t="shared" si="62"/>
        <v>[305]={[1]="DIVIDER1"; [2]={["ENGLISH"] = ""; }; };</v>
      </c>
      <c r="O306" t="str">
        <f t="shared" si="63"/>
        <v>[305]={[1]="DIVIDER2"; [2]={["ENGLISH"] = ""; }; };</v>
      </c>
      <c r="P306" t="str">
        <f t="shared" si="64"/>
        <v/>
      </c>
      <c r="Q306" t="str">
        <f t="shared" si="65"/>
        <v>[1]=0x7005A3F1;</v>
      </c>
      <c r="R306" t="str">
        <f t="shared" si="66"/>
        <v/>
      </c>
      <c r="S306" t="str">
        <f t="shared" si="67"/>
        <v>[2]={["GENERIC_FESTIVITY"]=10;};</v>
      </c>
      <c r="T306" t="str">
        <f t="shared" si="68"/>
        <v/>
      </c>
      <c r="U306" t="str">
        <f t="shared" si="69"/>
        <v>["GENERIC_FESTIVITY"]=10;</v>
      </c>
      <c r="V306" t="str">
        <f t="shared" si="70"/>
        <v/>
      </c>
      <c r="W306" t="str">
        <f t="shared" si="71"/>
        <v/>
      </c>
      <c r="X306" t="str">
        <f t="shared" si="72"/>
        <v/>
      </c>
      <c r="Y306" t="str">
        <f t="shared" si="73"/>
        <v/>
      </c>
    </row>
    <row r="307" spans="1:25" x14ac:dyDescent="0.25">
      <c r="C307" t="s">
        <v>422</v>
      </c>
      <c r="D307" s="1" t="s">
        <v>547</v>
      </c>
      <c r="G307">
        <v>10</v>
      </c>
      <c r="M307" t="str">
        <f t="shared" si="61"/>
        <v>[306]={[2]={["GENERIC_FESTIVITY"]=10;};[1]=0x7005A3EF;}; --Gammer's Best Large Footstool</v>
      </c>
      <c r="N307" t="str">
        <f t="shared" si="62"/>
        <v>[306]={[1]="DIVIDER1"; [2]={["ENGLISH"] = ""; }; };</v>
      </c>
      <c r="O307" t="str">
        <f t="shared" si="63"/>
        <v>[306]={[1]="DIVIDER2"; [2]={["ENGLISH"] = ""; }; };</v>
      </c>
      <c r="P307" t="str">
        <f t="shared" si="64"/>
        <v/>
      </c>
      <c r="Q307" t="str">
        <f t="shared" si="65"/>
        <v>[1]=0x7005A3EF;</v>
      </c>
      <c r="R307" t="str">
        <f t="shared" si="66"/>
        <v/>
      </c>
      <c r="S307" t="str">
        <f t="shared" si="67"/>
        <v>[2]={["GENERIC_FESTIVITY"]=10;};</v>
      </c>
      <c r="T307" t="str">
        <f t="shared" si="68"/>
        <v/>
      </c>
      <c r="U307" t="str">
        <f t="shared" si="69"/>
        <v>["GENERIC_FESTIVITY"]=10;</v>
      </c>
      <c r="V307" t="str">
        <f t="shared" si="70"/>
        <v/>
      </c>
      <c r="W307" t="str">
        <f t="shared" si="71"/>
        <v/>
      </c>
      <c r="X307" t="str">
        <f t="shared" si="72"/>
        <v/>
      </c>
      <c r="Y307" t="str">
        <f t="shared" si="73"/>
        <v/>
      </c>
    </row>
    <row r="308" spans="1:25" x14ac:dyDescent="0.25">
      <c r="C308" t="s">
        <v>423</v>
      </c>
      <c r="D308" s="1" t="s">
        <v>548</v>
      </c>
      <c r="G308">
        <v>10</v>
      </c>
      <c r="M308" t="str">
        <f t="shared" si="61"/>
        <v>[307]={[2]={["GENERIC_FESTIVITY"]=10;};[1]=0x7005A3F4;}; --Gammer's Best Couch</v>
      </c>
      <c r="N308" t="str">
        <f t="shared" si="62"/>
        <v>[307]={[1]="DIVIDER1"; [2]={["ENGLISH"] = ""; }; };</v>
      </c>
      <c r="O308" t="str">
        <f t="shared" si="63"/>
        <v>[307]={[1]="DIVIDER2"; [2]={["ENGLISH"] = ""; }; };</v>
      </c>
      <c r="P308" t="str">
        <f t="shared" si="64"/>
        <v/>
      </c>
      <c r="Q308" t="str">
        <f t="shared" si="65"/>
        <v>[1]=0x7005A3F4;</v>
      </c>
      <c r="R308" t="str">
        <f t="shared" si="66"/>
        <v/>
      </c>
      <c r="S308" t="str">
        <f t="shared" si="67"/>
        <v>[2]={["GENERIC_FESTIVITY"]=10;};</v>
      </c>
      <c r="T308" t="str">
        <f t="shared" si="68"/>
        <v/>
      </c>
      <c r="U308" t="str">
        <f t="shared" si="69"/>
        <v>["GENERIC_FESTIVITY"]=10;</v>
      </c>
      <c r="V308" t="str">
        <f t="shared" si="70"/>
        <v/>
      </c>
      <c r="W308" t="str">
        <f t="shared" si="71"/>
        <v/>
      </c>
      <c r="X308" t="str">
        <f t="shared" si="72"/>
        <v/>
      </c>
      <c r="Y308" t="str">
        <f t="shared" si="73"/>
        <v/>
      </c>
    </row>
    <row r="309" spans="1:25" x14ac:dyDescent="0.25">
      <c r="C309" t="s">
        <v>424</v>
      </c>
      <c r="D309" s="1" t="s">
        <v>549</v>
      </c>
      <c r="G309">
        <v>10</v>
      </c>
      <c r="M309" t="str">
        <f t="shared" si="61"/>
        <v>[308]={[2]={["GENERIC_FESTIVITY"]=10;};[1]=0x7005A3F2;}; --Gammer's Couch for Tall Visitors</v>
      </c>
      <c r="N309" t="str">
        <f t="shared" si="62"/>
        <v>[308]={[1]="DIVIDER1"; [2]={["ENGLISH"] = ""; }; };</v>
      </c>
      <c r="O309" t="str">
        <f t="shared" si="63"/>
        <v>[308]={[1]="DIVIDER2"; [2]={["ENGLISH"] = ""; }; };</v>
      </c>
      <c r="P309" t="str">
        <f t="shared" si="64"/>
        <v/>
      </c>
      <c r="Q309" t="str">
        <f t="shared" si="65"/>
        <v>[1]=0x7005A3F2;</v>
      </c>
      <c r="R309" t="str">
        <f t="shared" si="66"/>
        <v/>
      </c>
      <c r="S309" t="str">
        <f t="shared" si="67"/>
        <v>[2]={["GENERIC_FESTIVITY"]=10;};</v>
      </c>
      <c r="T309" t="str">
        <f t="shared" si="68"/>
        <v/>
      </c>
      <c r="U309" t="str">
        <f t="shared" si="69"/>
        <v>["GENERIC_FESTIVITY"]=10;</v>
      </c>
      <c r="V309" t="str">
        <f t="shared" si="70"/>
        <v/>
      </c>
      <c r="W309" t="str">
        <f t="shared" si="71"/>
        <v/>
      </c>
      <c r="X309" t="str">
        <f t="shared" si="72"/>
        <v/>
      </c>
      <c r="Y309" t="str">
        <f t="shared" si="73"/>
        <v/>
      </c>
    </row>
    <row r="310" spans="1:25" x14ac:dyDescent="0.25">
      <c r="C310" t="s">
        <v>425</v>
      </c>
      <c r="D310" s="1" t="s">
        <v>550</v>
      </c>
      <c r="G310">
        <v>10</v>
      </c>
      <c r="M310" t="str">
        <f t="shared" si="61"/>
        <v>[309]={[2]={["GENERIC_FESTIVITY"]=10;};[1]=0x7005A3F0;}; --Gammer's Best Small Footstool</v>
      </c>
      <c r="N310" t="str">
        <f t="shared" si="62"/>
        <v>[309]={[1]="DIVIDER1"; [2]={["ENGLISH"] = ""; }; };</v>
      </c>
      <c r="O310" t="str">
        <f t="shared" si="63"/>
        <v>[309]={[1]="DIVIDER2"; [2]={["ENGLISH"] = ""; }; };</v>
      </c>
      <c r="P310" t="str">
        <f t="shared" si="64"/>
        <v/>
      </c>
      <c r="Q310" t="str">
        <f t="shared" si="65"/>
        <v>[1]=0x7005A3F0;</v>
      </c>
      <c r="R310" t="str">
        <f t="shared" si="66"/>
        <v/>
      </c>
      <c r="S310" t="str">
        <f t="shared" si="67"/>
        <v>[2]={["GENERIC_FESTIVITY"]=10;};</v>
      </c>
      <c r="T310" t="str">
        <f t="shared" si="68"/>
        <v/>
      </c>
      <c r="U310" t="str">
        <f t="shared" si="69"/>
        <v>["GENERIC_FESTIVITY"]=10;</v>
      </c>
      <c r="V310" t="str">
        <f t="shared" si="70"/>
        <v/>
      </c>
      <c r="W310" t="str">
        <f t="shared" si="71"/>
        <v/>
      </c>
      <c r="X310" t="str">
        <f t="shared" si="72"/>
        <v/>
      </c>
      <c r="Y310" t="str">
        <f t="shared" si="73"/>
        <v/>
      </c>
    </row>
    <row r="311" spans="1:25" x14ac:dyDescent="0.25">
      <c r="C311" t="s">
        <v>426</v>
      </c>
      <c r="D311" s="1" t="s">
        <v>551</v>
      </c>
      <c r="G311">
        <v>10</v>
      </c>
      <c r="M311" t="str">
        <f t="shared" si="61"/>
        <v>[310]={[2]={["GENERIC_FESTIVITY"]=10;};[1]=0x7005A3F6;}; --Gammer's Hall Table</v>
      </c>
      <c r="N311" t="str">
        <f t="shared" si="62"/>
        <v>[310]={[1]="DIVIDER1"; [2]={["ENGLISH"] = ""; }; };</v>
      </c>
      <c r="O311" t="str">
        <f t="shared" si="63"/>
        <v>[310]={[1]="DIVIDER2"; [2]={["ENGLISH"] = ""; }; };</v>
      </c>
      <c r="P311" t="str">
        <f t="shared" si="64"/>
        <v/>
      </c>
      <c r="Q311" t="str">
        <f t="shared" si="65"/>
        <v>[1]=0x7005A3F6;</v>
      </c>
      <c r="R311" t="str">
        <f t="shared" si="66"/>
        <v/>
      </c>
      <c r="S311" t="str">
        <f t="shared" si="67"/>
        <v>[2]={["GENERIC_FESTIVITY"]=10;};</v>
      </c>
      <c r="T311" t="str">
        <f t="shared" si="68"/>
        <v/>
      </c>
      <c r="U311" t="str">
        <f t="shared" si="69"/>
        <v>["GENERIC_FESTIVITY"]=10;</v>
      </c>
      <c r="V311" t="str">
        <f t="shared" si="70"/>
        <v/>
      </c>
      <c r="W311" t="str">
        <f t="shared" si="71"/>
        <v/>
      </c>
      <c r="X311" t="str">
        <f t="shared" si="72"/>
        <v/>
      </c>
      <c r="Y311" t="str">
        <f t="shared" si="73"/>
        <v/>
      </c>
    </row>
    <row r="312" spans="1:25" x14ac:dyDescent="0.25">
      <c r="C312" t="s">
        <v>427</v>
      </c>
      <c r="D312" s="1" t="s">
        <v>552</v>
      </c>
      <c r="G312">
        <v>5</v>
      </c>
      <c r="M312" t="str">
        <f t="shared" si="61"/>
        <v>[311]={[2]={["GENERIC_FESTIVITY"]=5;};[1]=0x7005A3ED;}; --Gammer's Trinket Stand</v>
      </c>
      <c r="N312" t="str">
        <f t="shared" si="62"/>
        <v>[311]={[1]="DIVIDER1"; [2]={["ENGLISH"] = ""; }; };</v>
      </c>
      <c r="O312" t="str">
        <f t="shared" si="63"/>
        <v>[311]={[1]="DIVIDER2"; [2]={["ENGLISH"] = ""; }; };</v>
      </c>
      <c r="P312" t="str">
        <f t="shared" si="64"/>
        <v/>
      </c>
      <c r="Q312" t="str">
        <f t="shared" si="65"/>
        <v>[1]=0x7005A3ED;</v>
      </c>
      <c r="R312" t="str">
        <f t="shared" si="66"/>
        <v/>
      </c>
      <c r="S312" t="str">
        <f t="shared" si="67"/>
        <v>[2]={["GENERIC_FESTIVITY"]=5;};</v>
      </c>
      <c r="T312" t="str">
        <f t="shared" si="68"/>
        <v/>
      </c>
      <c r="U312" t="str">
        <f t="shared" si="69"/>
        <v>["GENERIC_FESTIVITY"]=5;</v>
      </c>
      <c r="V312" t="str">
        <f t="shared" si="70"/>
        <v/>
      </c>
      <c r="W312" t="str">
        <f t="shared" si="71"/>
        <v/>
      </c>
      <c r="X312" t="str">
        <f t="shared" si="72"/>
        <v/>
      </c>
      <c r="Y312" t="str">
        <f t="shared" si="73"/>
        <v/>
      </c>
    </row>
    <row r="313" spans="1:25" x14ac:dyDescent="0.25">
      <c r="A313" t="s">
        <v>555</v>
      </c>
      <c r="M313" t="str">
        <f t="shared" si="61"/>
        <v>[312]={[1]="DIVIDER1"; [2]={["ENGLISH"] = "Gredlan Mugwort (Boar Fountain in Bree-town)"; }; };</v>
      </c>
      <c r="N313" t="str">
        <f t="shared" si="62"/>
        <v>[312]={[1]="DIVIDER1"; [2]={["ENGLISH"] = "Gredlan Mugwort (Boar Fountain in Bree-town)"; }; };</v>
      </c>
      <c r="O313" t="str">
        <f t="shared" si="63"/>
        <v>[312]={[1]="DIVIDER2"; [2]={["ENGLISH"] = ""; }; };</v>
      </c>
      <c r="P313" t="str">
        <f t="shared" si="64"/>
        <v/>
      </c>
      <c r="Q313" t="str">
        <f t="shared" si="65"/>
        <v>[1]=;</v>
      </c>
      <c r="R313" t="str">
        <f t="shared" si="66"/>
        <v/>
      </c>
      <c r="S313" t="str">
        <f t="shared" si="67"/>
        <v>[2]={};</v>
      </c>
      <c r="T313" t="str">
        <f t="shared" si="68"/>
        <v/>
      </c>
      <c r="U313" t="str">
        <f t="shared" si="69"/>
        <v/>
      </c>
      <c r="V313" t="str">
        <f t="shared" si="70"/>
        <v/>
      </c>
      <c r="W313" t="str">
        <f t="shared" si="71"/>
        <v/>
      </c>
      <c r="X313" t="str">
        <f t="shared" si="72"/>
        <v/>
      </c>
      <c r="Y313" t="str">
        <f t="shared" si="73"/>
        <v/>
      </c>
    </row>
    <row r="314" spans="1:25" x14ac:dyDescent="0.25">
      <c r="B314" t="s">
        <v>428</v>
      </c>
      <c r="M314" t="str">
        <f t="shared" si="61"/>
        <v>[313]={[1]="DIVIDER2"; [2]={["ENGLISH"] = "Curious Novelties"; }; };</v>
      </c>
      <c r="N314" t="str">
        <f t="shared" si="62"/>
        <v>[313]={[1]="DIVIDER1"; [2]={["ENGLISH"] = ""; }; };</v>
      </c>
      <c r="O314" t="str">
        <f t="shared" si="63"/>
        <v>[313]={[1]="DIVIDER2"; [2]={["ENGLISH"] = "Curious Novelties"; }; };</v>
      </c>
      <c r="P314" t="str">
        <f t="shared" si="64"/>
        <v/>
      </c>
      <c r="Q314" t="str">
        <f t="shared" si="65"/>
        <v>[1]=;</v>
      </c>
      <c r="R314" t="str">
        <f t="shared" si="66"/>
        <v/>
      </c>
      <c r="S314" t="str">
        <f t="shared" si="67"/>
        <v>[2]={};</v>
      </c>
      <c r="T314" t="str">
        <f t="shared" si="68"/>
        <v/>
      </c>
      <c r="U314" t="str">
        <f t="shared" si="69"/>
        <v/>
      </c>
      <c r="V314" t="str">
        <f t="shared" si="70"/>
        <v/>
      </c>
      <c r="W314" t="str">
        <f t="shared" si="71"/>
        <v/>
      </c>
      <c r="X314" t="str">
        <f t="shared" si="72"/>
        <v/>
      </c>
      <c r="Y314" t="str">
        <f t="shared" si="73"/>
        <v/>
      </c>
    </row>
    <row r="315" spans="1:25" x14ac:dyDescent="0.25">
      <c r="C315" t="s">
        <v>12</v>
      </c>
      <c r="D315" s="1" t="s">
        <v>78</v>
      </c>
      <c r="I315">
        <v>80</v>
      </c>
      <c r="J315">
        <v>80</v>
      </c>
      <c r="K315">
        <v>80</v>
      </c>
      <c r="M315" t="str">
        <f t="shared" si="61"/>
        <v>[314]={[2]={["SPRING_VIOLET"]=80;["SPRING_MARIGOLD"]=80;["SPRING_PRIMROSE"]=80;};[1]=0x70036643;}; --Spring Lissuin Halter</v>
      </c>
      <c r="N315" t="str">
        <f t="shared" si="62"/>
        <v>[314]={[1]="DIVIDER1"; [2]={["ENGLISH"] = ""; }; };</v>
      </c>
      <c r="O315" t="str">
        <f t="shared" si="63"/>
        <v>[314]={[1]="DIVIDER2"; [2]={["ENGLISH"] = ""; }; };</v>
      </c>
      <c r="P315" t="str">
        <f t="shared" si="64"/>
        <v/>
      </c>
      <c r="Q315" t="str">
        <f t="shared" si="65"/>
        <v>[1]=0x70036643;</v>
      </c>
      <c r="R315" t="str">
        <f t="shared" si="66"/>
        <v/>
      </c>
      <c r="S315" t="str">
        <f t="shared" si="67"/>
        <v>[2]={["SPRING_VIOLET"]=80;["SPRING_MARIGOLD"]=80;["SPRING_PRIMROSE"]=80;};</v>
      </c>
      <c r="T315" t="str">
        <f t="shared" si="68"/>
        <v/>
      </c>
      <c r="U315" t="str">
        <f t="shared" si="69"/>
        <v/>
      </c>
      <c r="V315" t="str">
        <f t="shared" si="70"/>
        <v/>
      </c>
      <c r="W315" t="str">
        <f t="shared" si="71"/>
        <v>["SPRING_VIOLET"]=80;</v>
      </c>
      <c r="X315" t="str">
        <f t="shared" si="72"/>
        <v>["SPRING_MARIGOLD"]=80;</v>
      </c>
      <c r="Y315" t="str">
        <f t="shared" si="73"/>
        <v>["SPRING_PRIMROSE"]=80;</v>
      </c>
    </row>
    <row r="316" spans="1:25" x14ac:dyDescent="0.25">
      <c r="C316" t="s">
        <v>13</v>
      </c>
      <c r="D316" s="1" t="s">
        <v>79</v>
      </c>
      <c r="I316">
        <v>80</v>
      </c>
      <c r="J316">
        <v>80</v>
      </c>
      <c r="K316">
        <v>80</v>
      </c>
      <c r="M316" t="str">
        <f t="shared" si="61"/>
        <v>[315]={[2]={["SPRING_VIOLET"]=80;["SPRING_MARIGOLD"]=80;["SPRING_PRIMROSE"]=80;};[1]=0x70036644;}; --Spring Lissuin Saddle</v>
      </c>
      <c r="N316" t="str">
        <f t="shared" si="62"/>
        <v>[315]={[1]="DIVIDER1"; [2]={["ENGLISH"] = ""; }; };</v>
      </c>
      <c r="O316" t="str">
        <f t="shared" si="63"/>
        <v>[315]={[1]="DIVIDER2"; [2]={["ENGLISH"] = ""; }; };</v>
      </c>
      <c r="P316" t="str">
        <f t="shared" si="64"/>
        <v/>
      </c>
      <c r="Q316" t="str">
        <f t="shared" si="65"/>
        <v>[1]=0x70036644;</v>
      </c>
      <c r="R316" t="str">
        <f t="shared" si="66"/>
        <v/>
      </c>
      <c r="S316" t="str">
        <f t="shared" si="67"/>
        <v>[2]={["SPRING_VIOLET"]=80;["SPRING_MARIGOLD"]=80;["SPRING_PRIMROSE"]=80;};</v>
      </c>
      <c r="T316" t="str">
        <f t="shared" si="68"/>
        <v/>
      </c>
      <c r="U316" t="str">
        <f t="shared" si="69"/>
        <v/>
      </c>
      <c r="V316" t="str">
        <f t="shared" si="70"/>
        <v/>
      </c>
      <c r="W316" t="str">
        <f t="shared" si="71"/>
        <v>["SPRING_VIOLET"]=80;</v>
      </c>
      <c r="X316" t="str">
        <f t="shared" si="72"/>
        <v>["SPRING_MARIGOLD"]=80;</v>
      </c>
      <c r="Y316" t="str">
        <f t="shared" si="73"/>
        <v>["SPRING_PRIMROSE"]=80;</v>
      </c>
    </row>
    <row r="317" spans="1:25" x14ac:dyDescent="0.25">
      <c r="C317" t="s">
        <v>14</v>
      </c>
      <c r="D317" s="1" t="s">
        <v>80</v>
      </c>
      <c r="I317">
        <v>100</v>
      </c>
      <c r="J317">
        <v>100</v>
      </c>
      <c r="K317">
        <v>100</v>
      </c>
      <c r="M317" t="str">
        <f t="shared" si="61"/>
        <v>[316]={[2]={["SPRING_VIOLET"]=100;["SPRING_MARIGOLD"]=100;["SPRING_PRIMROSE"]=100;};[1]=0x7002CBE9;}; --Steed of the Jester</v>
      </c>
      <c r="N317" t="str">
        <f t="shared" si="62"/>
        <v>[316]={[1]="DIVIDER1"; [2]={["ENGLISH"] = ""; }; };</v>
      </c>
      <c r="O317" t="str">
        <f t="shared" si="63"/>
        <v>[316]={[1]="DIVIDER2"; [2]={["ENGLISH"] = ""; }; };</v>
      </c>
      <c r="P317" t="str">
        <f t="shared" si="64"/>
        <v/>
      </c>
      <c r="Q317" t="str">
        <f t="shared" si="65"/>
        <v>[1]=0x7002CBE9;</v>
      </c>
      <c r="R317" t="str">
        <f t="shared" si="66"/>
        <v/>
      </c>
      <c r="S317" t="str">
        <f t="shared" si="67"/>
        <v>[2]={["SPRING_VIOLET"]=100;["SPRING_MARIGOLD"]=100;["SPRING_PRIMROSE"]=100;};</v>
      </c>
      <c r="T317" t="str">
        <f t="shared" si="68"/>
        <v/>
      </c>
      <c r="U317" t="str">
        <f t="shared" si="69"/>
        <v/>
      </c>
      <c r="V317" t="str">
        <f t="shared" si="70"/>
        <v/>
      </c>
      <c r="W317" t="str">
        <f t="shared" si="71"/>
        <v>["SPRING_VIOLET"]=100;</v>
      </c>
      <c r="X317" t="str">
        <f t="shared" si="72"/>
        <v>["SPRING_MARIGOLD"]=100;</v>
      </c>
      <c r="Y317" t="str">
        <f t="shared" si="73"/>
        <v>["SPRING_PRIMROSE"]=100;</v>
      </c>
    </row>
    <row r="318" spans="1:25" x14ac:dyDescent="0.25">
      <c r="C318" t="s">
        <v>15</v>
      </c>
      <c r="D318" s="1" t="s">
        <v>81</v>
      </c>
      <c r="I318">
        <v>6</v>
      </c>
      <c r="J318">
        <v>6</v>
      </c>
      <c r="K318">
        <v>6</v>
      </c>
      <c r="M318" t="str">
        <f t="shared" si="61"/>
        <v>[317]={[2]={["SPRING_VIOLET"]=6;["SPRING_MARIGOLD"]=6;["SPRING_PRIMROSE"]=6;};[1]=0x7000D8C5;}; --Blue Flower Gift Box</v>
      </c>
      <c r="N318" t="str">
        <f t="shared" si="62"/>
        <v>[317]={[1]="DIVIDER1"; [2]={["ENGLISH"] = ""; }; };</v>
      </c>
      <c r="O318" t="str">
        <f t="shared" si="63"/>
        <v>[317]={[1]="DIVIDER2"; [2]={["ENGLISH"] = ""; }; };</v>
      </c>
      <c r="P318" t="str">
        <f t="shared" si="64"/>
        <v/>
      </c>
      <c r="Q318" t="str">
        <f t="shared" si="65"/>
        <v>[1]=0x7000D8C5;</v>
      </c>
      <c r="R318" t="str">
        <f t="shared" si="66"/>
        <v/>
      </c>
      <c r="S318" t="str">
        <f t="shared" si="67"/>
        <v>[2]={["SPRING_VIOLET"]=6;["SPRING_MARIGOLD"]=6;["SPRING_PRIMROSE"]=6;};</v>
      </c>
      <c r="T318" t="str">
        <f t="shared" si="68"/>
        <v/>
      </c>
      <c r="U318" t="str">
        <f t="shared" si="69"/>
        <v/>
      </c>
      <c r="V318" t="str">
        <f t="shared" si="70"/>
        <v/>
      </c>
      <c r="W318" t="str">
        <f t="shared" si="71"/>
        <v>["SPRING_VIOLET"]=6;</v>
      </c>
      <c r="X318" t="str">
        <f t="shared" si="72"/>
        <v>["SPRING_MARIGOLD"]=6;</v>
      </c>
      <c r="Y318" t="str">
        <f t="shared" si="73"/>
        <v>["SPRING_PRIMROSE"]=6;</v>
      </c>
    </row>
    <row r="319" spans="1:25" x14ac:dyDescent="0.25">
      <c r="C319" t="s">
        <v>16</v>
      </c>
      <c r="D319" s="1" t="s">
        <v>82</v>
      </c>
      <c r="I319">
        <v>6</v>
      </c>
      <c r="J319">
        <v>6</v>
      </c>
      <c r="K319">
        <v>6</v>
      </c>
      <c r="M319" t="str">
        <f t="shared" si="61"/>
        <v>[318]={[2]={["SPRING_VIOLET"]=6;["SPRING_MARIGOLD"]=6;["SPRING_PRIMROSE"]=6;};[1]=0x7000D8EF;}; --Green Flower Gift Box</v>
      </c>
      <c r="N319" t="str">
        <f t="shared" si="62"/>
        <v>[318]={[1]="DIVIDER1"; [2]={["ENGLISH"] = ""; }; };</v>
      </c>
      <c r="O319" t="str">
        <f t="shared" si="63"/>
        <v>[318]={[1]="DIVIDER2"; [2]={["ENGLISH"] = ""; }; };</v>
      </c>
      <c r="P319" t="str">
        <f t="shared" si="64"/>
        <v/>
      </c>
      <c r="Q319" t="str">
        <f t="shared" si="65"/>
        <v>[1]=0x7000D8EF;</v>
      </c>
      <c r="R319" t="str">
        <f t="shared" si="66"/>
        <v/>
      </c>
      <c r="S319" t="str">
        <f t="shared" si="67"/>
        <v>[2]={["SPRING_VIOLET"]=6;["SPRING_MARIGOLD"]=6;["SPRING_PRIMROSE"]=6;};</v>
      </c>
      <c r="T319" t="str">
        <f t="shared" si="68"/>
        <v/>
      </c>
      <c r="U319" t="str">
        <f t="shared" si="69"/>
        <v/>
      </c>
      <c r="V319" t="str">
        <f t="shared" si="70"/>
        <v/>
      </c>
      <c r="W319" t="str">
        <f t="shared" si="71"/>
        <v>["SPRING_VIOLET"]=6;</v>
      </c>
      <c r="X319" t="str">
        <f t="shared" si="72"/>
        <v>["SPRING_MARIGOLD"]=6;</v>
      </c>
      <c r="Y319" t="str">
        <f t="shared" si="73"/>
        <v>["SPRING_PRIMROSE"]=6;</v>
      </c>
    </row>
    <row r="320" spans="1:25" x14ac:dyDescent="0.25">
      <c r="C320" t="s">
        <v>17</v>
      </c>
      <c r="D320" s="1" t="s">
        <v>83</v>
      </c>
      <c r="I320">
        <v>6</v>
      </c>
      <c r="J320">
        <v>6</v>
      </c>
      <c r="K320">
        <v>6</v>
      </c>
      <c r="M320" t="str">
        <f t="shared" si="61"/>
        <v>[319]={[2]={["SPRING_VIOLET"]=6;["SPRING_MARIGOLD"]=6;["SPRING_PRIMROSE"]=6;};[1]=0x7000D8F1;}; --Red Flower Gift Box</v>
      </c>
      <c r="N320" t="str">
        <f t="shared" si="62"/>
        <v>[319]={[1]="DIVIDER1"; [2]={["ENGLISH"] = ""; }; };</v>
      </c>
      <c r="O320" t="str">
        <f t="shared" si="63"/>
        <v>[319]={[1]="DIVIDER2"; [2]={["ENGLISH"] = ""; }; };</v>
      </c>
      <c r="P320" t="str">
        <f t="shared" si="64"/>
        <v/>
      </c>
      <c r="Q320" t="str">
        <f t="shared" si="65"/>
        <v>[1]=0x7000D8F1;</v>
      </c>
      <c r="R320" t="str">
        <f t="shared" si="66"/>
        <v/>
      </c>
      <c r="S320" t="str">
        <f t="shared" si="67"/>
        <v>[2]={["SPRING_VIOLET"]=6;["SPRING_MARIGOLD"]=6;["SPRING_PRIMROSE"]=6;};</v>
      </c>
      <c r="T320" t="str">
        <f t="shared" si="68"/>
        <v/>
      </c>
      <c r="U320" t="str">
        <f t="shared" si="69"/>
        <v/>
      </c>
      <c r="V320" t="str">
        <f t="shared" si="70"/>
        <v/>
      </c>
      <c r="W320" t="str">
        <f t="shared" si="71"/>
        <v>["SPRING_VIOLET"]=6;</v>
      </c>
      <c r="X320" t="str">
        <f t="shared" si="72"/>
        <v>["SPRING_MARIGOLD"]=6;</v>
      </c>
      <c r="Y320" t="str">
        <f t="shared" si="73"/>
        <v>["SPRING_PRIMROSE"]=6;</v>
      </c>
    </row>
    <row r="321" spans="13:25" x14ac:dyDescent="0.25">
      <c r="M321" t="str">
        <f t="shared" si="61"/>
        <v>[320]={[2]={};[1]=;}; --</v>
      </c>
      <c r="N321" t="str">
        <f t="shared" si="62"/>
        <v>[320]={[1]="DIVIDER1"; [2]={["ENGLISH"] = ""; }; };</v>
      </c>
      <c r="O321" t="str">
        <f t="shared" si="63"/>
        <v>[320]={[1]="DIVIDER2"; [2]={["ENGLISH"] = ""; }; };</v>
      </c>
      <c r="P321" t="str">
        <f t="shared" si="64"/>
        <v/>
      </c>
      <c r="Q321" t="str">
        <f t="shared" si="65"/>
        <v>[1]=;</v>
      </c>
      <c r="R321" t="str">
        <f t="shared" si="66"/>
        <v/>
      </c>
      <c r="S321" t="str">
        <f t="shared" si="67"/>
        <v>[2]={};</v>
      </c>
      <c r="T321" t="str">
        <f t="shared" si="68"/>
        <v/>
      </c>
      <c r="U321" t="str">
        <f t="shared" si="69"/>
        <v/>
      </c>
      <c r="V321" t="str">
        <f t="shared" si="70"/>
        <v/>
      </c>
      <c r="W321" t="str">
        <f t="shared" si="71"/>
        <v/>
      </c>
      <c r="X321" t="str">
        <f t="shared" si="72"/>
        <v/>
      </c>
      <c r="Y321" t="str">
        <f t="shared" si="73"/>
        <v/>
      </c>
    </row>
    <row r="322" spans="13:25" x14ac:dyDescent="0.25">
      <c r="M322" t="str">
        <f t="shared" si="61"/>
        <v>[321]={[2]={};[1]=;}; --</v>
      </c>
      <c r="N322" t="str">
        <f t="shared" si="62"/>
        <v>[321]={[1]="DIVIDER1"; [2]={["ENGLISH"] = ""; }; };</v>
      </c>
      <c r="O322" t="str">
        <f t="shared" si="63"/>
        <v>[321]={[1]="DIVIDER2"; [2]={["ENGLISH"] = ""; }; };</v>
      </c>
      <c r="P322" t="str">
        <f t="shared" si="64"/>
        <v/>
      </c>
      <c r="Q322" t="str">
        <f t="shared" si="65"/>
        <v>[1]=;</v>
      </c>
      <c r="R322" t="str">
        <f t="shared" si="66"/>
        <v/>
      </c>
      <c r="S322" t="str">
        <f t="shared" si="67"/>
        <v>[2]={};</v>
      </c>
      <c r="T322" t="str">
        <f t="shared" si="68"/>
        <v/>
      </c>
      <c r="U322" t="str">
        <f t="shared" si="69"/>
        <v/>
      </c>
      <c r="V322" t="str">
        <f t="shared" si="70"/>
        <v/>
      </c>
      <c r="W322" t="str">
        <f t="shared" si="71"/>
        <v/>
      </c>
      <c r="X322" t="str">
        <f t="shared" si="72"/>
        <v/>
      </c>
      <c r="Y322" t="str">
        <f t="shared" si="73"/>
        <v/>
      </c>
    </row>
    <row r="323" spans="13:25" x14ac:dyDescent="0.25">
      <c r="M323" t="str">
        <f t="shared" ref="M323:M328" si="74">IF(
  NOT(ISBLANK(A323)),
  N323,
  IF(
    NOT(ISBLANK(B323)),
    O323,
    CONCATENATE("[",ROW()-1,"]={",R323,S323,Q323,"};"," --",C323)
  )
)</f>
        <v>[322]={[2]={};[1]=;}; --</v>
      </c>
      <c r="N323" t="str">
        <f t="shared" ref="N323:N328" si="75">CONCATENATE("[",ROW()-1,"]={[1]=""DIVIDER1""; [2]={[""ENGLISH""] = """,A323,"""; }; ",P323,"};")</f>
        <v>[322]={[1]="DIVIDER1"; [2]={["ENGLISH"] = ""; }; };</v>
      </c>
      <c r="O323" t="str">
        <f t="shared" ref="O323:O328" si="76">CONCATENATE("[",ROW()-1,"]={[1]=""DIVIDER2""; [2]={[""ENGLISH""] = """,B323,"""; }; ",P323,"};")</f>
        <v>[322]={[1]="DIVIDER2"; [2]={["ENGLISH"] = ""; }; };</v>
      </c>
      <c r="P323" t="str">
        <f t="shared" ref="P321:P328" si="77">IF(LEN(L323)&gt;0,CONCATENATE("[""DIVIDER_HEIGHT""] = ",L323,";"),"")</f>
        <v/>
      </c>
      <c r="Q323" t="str">
        <f t="shared" ref="Q321:Q328" si="78">CONCATENATE("[1]=",D323,";")</f>
        <v>[1]=;</v>
      </c>
      <c r="R323" t="str">
        <f t="shared" ref="R321:R328" si="79">IF(E323&gt;0,CONCATENATE("[3]=",E323,";"),"")</f>
        <v/>
      </c>
      <c r="S323" t="str">
        <f t="shared" ref="S321:S328" si="80">_xlfn.TEXTJOIN("",TRUE,"[2]={",T323:Y323,"};")</f>
        <v>[2]={};</v>
      </c>
      <c r="T323" t="str">
        <f t="shared" ref="T321:T328" si="81">IF(F323&gt;0,CONCATENATE("[""",F$1,"""]=",F323,";"),"")</f>
        <v/>
      </c>
      <c r="U323" t="str">
        <f t="shared" ref="U321:U328" si="82">IF(G323&gt;0,CONCATENATE("[""",G$1,"""]=",G323,";"),"")</f>
        <v/>
      </c>
      <c r="V323" t="str">
        <f t="shared" ref="V321:V328" si="83">IF(H323&gt;0,CONCATENATE("[""",H$1,"""]=",H323,";"),"")</f>
        <v/>
      </c>
      <c r="W323" t="str">
        <f t="shared" ref="W321:W328" si="84">IF(I323&gt;0,CONCATENATE("[""",I$1,"""]=",I323,";"),"")</f>
        <v/>
      </c>
      <c r="X323" t="str">
        <f t="shared" ref="X321:X328" si="85">IF(J323&gt;0,CONCATENATE("[""",J$1,"""]=",J323,";"),"")</f>
        <v/>
      </c>
      <c r="Y323" t="str">
        <f t="shared" ref="Y321:Y328" si="86">IF(K323&gt;0,CONCATENATE("[""",K$1,"""]=",K323,";"),"")</f>
        <v/>
      </c>
    </row>
    <row r="324" spans="13:25" x14ac:dyDescent="0.25">
      <c r="M324" t="str">
        <f t="shared" si="74"/>
        <v>[323]={[2]={};[1]=;}; --</v>
      </c>
      <c r="N324" t="str">
        <f t="shared" si="75"/>
        <v>[323]={[1]="DIVIDER1"; [2]={["ENGLISH"] = ""; }; };</v>
      </c>
      <c r="O324" t="str">
        <f t="shared" si="76"/>
        <v>[323]={[1]="DIVIDER2"; [2]={["ENGLISH"] = ""; }; };</v>
      </c>
      <c r="P324" t="str">
        <f t="shared" si="77"/>
        <v/>
      </c>
      <c r="Q324" t="str">
        <f t="shared" si="78"/>
        <v>[1]=;</v>
      </c>
      <c r="R324" t="str">
        <f t="shared" si="79"/>
        <v/>
      </c>
      <c r="S324" t="str">
        <f t="shared" si="80"/>
        <v>[2]={};</v>
      </c>
      <c r="T324" t="str">
        <f t="shared" si="81"/>
        <v/>
      </c>
      <c r="U324" t="str">
        <f t="shared" si="82"/>
        <v/>
      </c>
      <c r="V324" t="str">
        <f t="shared" si="83"/>
        <v/>
      </c>
      <c r="W324" t="str">
        <f t="shared" si="84"/>
        <v/>
      </c>
      <c r="X324" t="str">
        <f t="shared" si="85"/>
        <v/>
      </c>
      <c r="Y324" t="str">
        <f t="shared" si="86"/>
        <v/>
      </c>
    </row>
    <row r="325" spans="13:25" x14ac:dyDescent="0.25">
      <c r="M325" t="str">
        <f t="shared" si="74"/>
        <v>[324]={[2]={};[1]=;}; --</v>
      </c>
      <c r="N325" t="str">
        <f t="shared" si="75"/>
        <v>[324]={[1]="DIVIDER1"; [2]={["ENGLISH"] = ""; }; };</v>
      </c>
      <c r="O325" t="str">
        <f t="shared" si="76"/>
        <v>[324]={[1]="DIVIDER2"; [2]={["ENGLISH"] = ""; }; };</v>
      </c>
      <c r="P325" t="str">
        <f t="shared" si="77"/>
        <v/>
      </c>
      <c r="Q325" t="str">
        <f t="shared" si="78"/>
        <v>[1]=;</v>
      </c>
      <c r="R325" t="str">
        <f t="shared" si="79"/>
        <v/>
      </c>
      <c r="S325" t="str">
        <f t="shared" si="80"/>
        <v>[2]={};</v>
      </c>
      <c r="T325" t="str">
        <f t="shared" si="81"/>
        <v/>
      </c>
      <c r="U325" t="str">
        <f t="shared" si="82"/>
        <v/>
      </c>
      <c r="V325" t="str">
        <f t="shared" si="83"/>
        <v/>
      </c>
      <c r="W325" t="str">
        <f t="shared" si="84"/>
        <v/>
      </c>
      <c r="X325" t="str">
        <f t="shared" si="85"/>
        <v/>
      </c>
      <c r="Y325" t="str">
        <f t="shared" si="86"/>
        <v/>
      </c>
    </row>
    <row r="326" spans="13:25" x14ac:dyDescent="0.25">
      <c r="M326" t="str">
        <f t="shared" si="74"/>
        <v>[325]={[2]={};[1]=;}; --</v>
      </c>
      <c r="N326" t="str">
        <f t="shared" si="75"/>
        <v>[325]={[1]="DIVIDER1"; [2]={["ENGLISH"] = ""; }; };</v>
      </c>
      <c r="O326" t="str">
        <f t="shared" si="76"/>
        <v>[325]={[1]="DIVIDER2"; [2]={["ENGLISH"] = ""; }; };</v>
      </c>
      <c r="P326" t="str">
        <f t="shared" si="77"/>
        <v/>
      </c>
      <c r="Q326" t="str">
        <f t="shared" si="78"/>
        <v>[1]=;</v>
      </c>
      <c r="R326" t="str">
        <f t="shared" si="79"/>
        <v/>
      </c>
      <c r="S326" t="str">
        <f t="shared" si="80"/>
        <v>[2]={};</v>
      </c>
      <c r="T326" t="str">
        <f t="shared" si="81"/>
        <v/>
      </c>
      <c r="U326" t="str">
        <f t="shared" si="82"/>
        <v/>
      </c>
      <c r="V326" t="str">
        <f t="shared" si="83"/>
        <v/>
      </c>
      <c r="W326" t="str">
        <f t="shared" si="84"/>
        <v/>
      </c>
      <c r="X326" t="str">
        <f t="shared" si="85"/>
        <v/>
      </c>
      <c r="Y326" t="str">
        <f t="shared" si="86"/>
        <v/>
      </c>
    </row>
    <row r="327" spans="13:25" x14ac:dyDescent="0.25">
      <c r="M327" t="str">
        <f t="shared" si="74"/>
        <v>[326]={[2]={};[1]=;}; --</v>
      </c>
      <c r="N327" t="str">
        <f t="shared" si="75"/>
        <v>[326]={[1]="DIVIDER1"; [2]={["ENGLISH"] = ""; }; };</v>
      </c>
      <c r="O327" t="str">
        <f t="shared" si="76"/>
        <v>[326]={[1]="DIVIDER2"; [2]={["ENGLISH"] = ""; }; };</v>
      </c>
      <c r="P327" t="str">
        <f t="shared" si="77"/>
        <v/>
      </c>
      <c r="Q327" t="str">
        <f t="shared" si="78"/>
        <v>[1]=;</v>
      </c>
      <c r="R327" t="str">
        <f t="shared" si="79"/>
        <v/>
      </c>
      <c r="S327" t="str">
        <f t="shared" si="80"/>
        <v>[2]={};</v>
      </c>
      <c r="T327" t="str">
        <f t="shared" si="81"/>
        <v/>
      </c>
      <c r="U327" t="str">
        <f t="shared" si="82"/>
        <v/>
      </c>
      <c r="V327" t="str">
        <f t="shared" si="83"/>
        <v/>
      </c>
      <c r="W327" t="str">
        <f t="shared" si="84"/>
        <v/>
      </c>
      <c r="X327" t="str">
        <f t="shared" si="85"/>
        <v/>
      </c>
      <c r="Y327" t="str">
        <f t="shared" si="86"/>
        <v/>
      </c>
    </row>
    <row r="328" spans="13:25" x14ac:dyDescent="0.25">
      <c r="M328" t="str">
        <f t="shared" si="74"/>
        <v>[327]={[2]={};[1]=;}; --</v>
      </c>
      <c r="N328" t="str">
        <f t="shared" si="75"/>
        <v>[327]={[1]="DIVIDER1"; [2]={["ENGLISH"] = ""; }; };</v>
      </c>
      <c r="O328" t="str">
        <f t="shared" si="76"/>
        <v>[327]={[1]="DIVIDER2"; [2]={["ENGLISH"] = ""; }; };</v>
      </c>
      <c r="P328" t="str">
        <f t="shared" si="77"/>
        <v/>
      </c>
      <c r="Q328" t="str">
        <f t="shared" si="78"/>
        <v>[1]=;</v>
      </c>
      <c r="R328" t="str">
        <f t="shared" si="79"/>
        <v/>
      </c>
      <c r="S328" t="str">
        <f t="shared" si="80"/>
        <v>[2]={};</v>
      </c>
      <c r="T328" t="str">
        <f t="shared" si="81"/>
        <v/>
      </c>
      <c r="U328" t="str">
        <f t="shared" si="82"/>
        <v/>
      </c>
      <c r="V328" t="str">
        <f t="shared" si="83"/>
        <v/>
      </c>
      <c r="W328" t="str">
        <f t="shared" si="84"/>
        <v/>
      </c>
      <c r="X328" t="str">
        <f t="shared" si="85"/>
        <v/>
      </c>
      <c r="Y328" t="str">
        <f t="shared" si="86"/>
        <v/>
      </c>
    </row>
  </sheetData>
  <conditionalFormatting sqref="D257:D1048576 D1:D255">
    <cfRule type="duplicateValues" dxfId="0" priority="1"/>
  </conditionalFormatting>
  <pageMargins left="0.7" right="0.7" top="0.75" bottom="0.75" header="0.3" footer="0.3"/>
  <pageSetup paperSize="12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van Ark</dc:creator>
  <cp:lastModifiedBy>William van Ark</cp:lastModifiedBy>
  <dcterms:created xsi:type="dcterms:W3CDTF">2024-03-13T18:13:09Z</dcterms:created>
  <dcterms:modified xsi:type="dcterms:W3CDTF">2026-03-17T19:14:51Z</dcterms:modified>
</cp:coreProperties>
</file>