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kckx\Documents\The Lord of the Rings Online\Plugins\CubePlugins\FestivalBuddyII\_sourceFiles\Barter Items\"/>
    </mc:Choice>
  </mc:AlternateContent>
  <xr:revisionPtr revIDLastSave="0" documentId="13_ncr:1_{082FFF08-08B4-4D80-9F61-89292586BD58}" xr6:coauthVersionLast="47" xr6:coauthVersionMax="47" xr10:uidLastSave="{00000000-0000-0000-0000-000000000000}"/>
  <bookViews>
    <workbookView xWindow="14295" yWindow="0" windowWidth="14610" windowHeight="15705" xr2:uid="{83101F25-9AB0-48DD-9147-B2D704E74084}"/>
  </bookViews>
  <sheets>
    <sheet name="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5" i="1" l="1"/>
  <c r="M285" i="1" s="1"/>
  <c r="P285" i="1"/>
  <c r="Q285" i="1"/>
  <c r="S285" i="1"/>
  <c r="R285" i="1" s="1"/>
  <c r="T285" i="1"/>
  <c r="O286" i="1"/>
  <c r="N286" i="1" s="1"/>
  <c r="P286" i="1"/>
  <c r="Q286" i="1"/>
  <c r="R286" i="1"/>
  <c r="S286" i="1"/>
  <c r="T286" i="1"/>
  <c r="N287" i="1"/>
  <c r="L287" i="1" s="1"/>
  <c r="O287" i="1"/>
  <c r="M287" i="1" s="1"/>
  <c r="P287" i="1"/>
  <c r="Q287" i="1"/>
  <c r="S287" i="1"/>
  <c r="R287" i="1" s="1"/>
  <c r="T287" i="1"/>
  <c r="L288" i="1"/>
  <c r="O288" i="1"/>
  <c r="M288" i="1" s="1"/>
  <c r="P288" i="1"/>
  <c r="Q288" i="1"/>
  <c r="R288" i="1"/>
  <c r="S288" i="1"/>
  <c r="T288" i="1"/>
  <c r="O289" i="1"/>
  <c r="N289" i="1" s="1"/>
  <c r="P289" i="1"/>
  <c r="Q289" i="1"/>
  <c r="S289" i="1"/>
  <c r="R289" i="1" s="1"/>
  <c r="T289" i="1"/>
  <c r="M290" i="1"/>
  <c r="N290" i="1"/>
  <c r="O290" i="1"/>
  <c r="P290" i="1"/>
  <c r="Q290" i="1"/>
  <c r="S290" i="1"/>
  <c r="R290" i="1" s="1"/>
  <c r="L290" i="1" s="1"/>
  <c r="T290" i="1"/>
  <c r="O291" i="1"/>
  <c r="N291" i="1" s="1"/>
  <c r="P291" i="1"/>
  <c r="Q291" i="1"/>
  <c r="S291" i="1"/>
  <c r="R291" i="1" s="1"/>
  <c r="T291" i="1"/>
  <c r="N292" i="1"/>
  <c r="O292" i="1"/>
  <c r="M292" i="1" s="1"/>
  <c r="P292" i="1"/>
  <c r="Q292" i="1"/>
  <c r="S292" i="1"/>
  <c r="R292" i="1" s="1"/>
  <c r="L292" i="1" s="1"/>
  <c r="T292" i="1"/>
  <c r="O293" i="1"/>
  <c r="M293" i="1" s="1"/>
  <c r="P293" i="1"/>
  <c r="Q293" i="1"/>
  <c r="L293" i="1" s="1"/>
  <c r="R293" i="1"/>
  <c r="S293" i="1"/>
  <c r="T293" i="1"/>
  <c r="O294" i="1"/>
  <c r="M294" i="1" s="1"/>
  <c r="P294" i="1"/>
  <c r="Q294" i="1"/>
  <c r="L294" i="1" s="1"/>
  <c r="S294" i="1"/>
  <c r="R294" i="1" s="1"/>
  <c r="T294" i="1"/>
  <c r="O295" i="1"/>
  <c r="N295" i="1" s="1"/>
  <c r="P295" i="1"/>
  <c r="Q295" i="1"/>
  <c r="S295" i="1"/>
  <c r="R295" i="1" s="1"/>
  <c r="L295" i="1" s="1"/>
  <c r="T295" i="1"/>
  <c r="O296" i="1"/>
  <c r="M296" i="1" s="1"/>
  <c r="P296" i="1"/>
  <c r="Q296" i="1"/>
  <c r="S296" i="1"/>
  <c r="R296" i="1" s="1"/>
  <c r="T296" i="1"/>
  <c r="M297" i="1"/>
  <c r="N297" i="1"/>
  <c r="O297" i="1"/>
  <c r="P297" i="1"/>
  <c r="Q297" i="1"/>
  <c r="S297" i="1"/>
  <c r="R297" i="1" s="1"/>
  <c r="L297" i="1" s="1"/>
  <c r="T297" i="1"/>
  <c r="O298" i="1"/>
  <c r="N298" i="1" s="1"/>
  <c r="P298" i="1"/>
  <c r="Q298" i="1"/>
  <c r="S298" i="1"/>
  <c r="R298" i="1" s="1"/>
  <c r="T298" i="1"/>
  <c r="M299" i="1"/>
  <c r="O299" i="1"/>
  <c r="N299" i="1" s="1"/>
  <c r="P299" i="1"/>
  <c r="Q299" i="1"/>
  <c r="S299" i="1"/>
  <c r="T299" i="1"/>
  <c r="R299" i="1" s="1"/>
  <c r="L299" i="1" s="1"/>
  <c r="O300" i="1"/>
  <c r="N300" i="1" s="1"/>
  <c r="P300" i="1"/>
  <c r="Q300" i="1"/>
  <c r="S300" i="1"/>
  <c r="R300" i="1" s="1"/>
  <c r="T300" i="1"/>
  <c r="M301" i="1"/>
  <c r="N301" i="1"/>
  <c r="O301" i="1"/>
  <c r="P301" i="1"/>
  <c r="Q301" i="1"/>
  <c r="L301" i="1" s="1"/>
  <c r="S301" i="1"/>
  <c r="R301" i="1" s="1"/>
  <c r="T301" i="1"/>
  <c r="O302" i="1"/>
  <c r="M302" i="1" s="1"/>
  <c r="P302" i="1"/>
  <c r="Q302" i="1"/>
  <c r="L302" i="1" s="1"/>
  <c r="R302" i="1"/>
  <c r="S302" i="1"/>
  <c r="T302" i="1"/>
  <c r="N303" i="1"/>
  <c r="O303" i="1"/>
  <c r="M303" i="1" s="1"/>
  <c r="P303" i="1"/>
  <c r="Q303" i="1"/>
  <c r="L303" i="1" s="1"/>
  <c r="S303" i="1"/>
  <c r="R303" i="1" s="1"/>
  <c r="T303" i="1"/>
  <c r="L304" i="1"/>
  <c r="O304" i="1"/>
  <c r="M304" i="1" s="1"/>
  <c r="P304" i="1"/>
  <c r="Q304" i="1"/>
  <c r="R304" i="1"/>
  <c r="S304" i="1"/>
  <c r="T304" i="1"/>
  <c r="O305" i="1"/>
  <c r="N305" i="1" s="1"/>
  <c r="P305" i="1"/>
  <c r="Q305" i="1"/>
  <c r="L305" i="1" s="1"/>
  <c r="S305" i="1"/>
  <c r="R305" i="1" s="1"/>
  <c r="T305" i="1"/>
  <c r="M306" i="1"/>
  <c r="N306" i="1"/>
  <c r="O306" i="1"/>
  <c r="P306" i="1"/>
  <c r="Q306" i="1"/>
  <c r="S306" i="1"/>
  <c r="R306" i="1" s="1"/>
  <c r="L306" i="1" s="1"/>
  <c r="T306" i="1"/>
  <c r="O307" i="1"/>
  <c r="N307" i="1" s="1"/>
  <c r="P307" i="1"/>
  <c r="Q307" i="1"/>
  <c r="S307" i="1"/>
  <c r="R307" i="1" s="1"/>
  <c r="T307" i="1"/>
  <c r="N308" i="1"/>
  <c r="O308" i="1"/>
  <c r="M308" i="1" s="1"/>
  <c r="P308" i="1"/>
  <c r="Q308" i="1"/>
  <c r="S308" i="1"/>
  <c r="R308" i="1" s="1"/>
  <c r="L308" i="1" s="1"/>
  <c r="T308" i="1"/>
  <c r="O3" i="1"/>
  <c r="M3" i="1" s="1"/>
  <c r="P3" i="1"/>
  <c r="Q3" i="1"/>
  <c r="S3" i="1"/>
  <c r="R3" i="1" s="1"/>
  <c r="T3" i="1"/>
  <c r="N4" i="1"/>
  <c r="O4" i="1"/>
  <c r="M4" i="1" s="1"/>
  <c r="P4" i="1"/>
  <c r="Q4" i="1"/>
  <c r="R4" i="1"/>
  <c r="S4" i="1"/>
  <c r="T4" i="1"/>
  <c r="N5" i="1"/>
  <c r="O5" i="1"/>
  <c r="M5" i="1" s="1"/>
  <c r="P5" i="1"/>
  <c r="Q5" i="1"/>
  <c r="L5" i="1" s="1"/>
  <c r="R5" i="1"/>
  <c r="S5" i="1"/>
  <c r="T5" i="1"/>
  <c r="L6" i="1"/>
  <c r="O6" i="1"/>
  <c r="M6" i="1" s="1"/>
  <c r="P6" i="1"/>
  <c r="Q6" i="1"/>
  <c r="S6" i="1"/>
  <c r="R6" i="1" s="1"/>
  <c r="T6" i="1"/>
  <c r="O7" i="1"/>
  <c r="M7" i="1" s="1"/>
  <c r="P7" i="1"/>
  <c r="Q7" i="1"/>
  <c r="S7" i="1"/>
  <c r="R7" i="1" s="1"/>
  <c r="T7" i="1"/>
  <c r="L8" i="1"/>
  <c r="M8" i="1"/>
  <c r="N8" i="1"/>
  <c r="O8" i="1"/>
  <c r="P8" i="1"/>
  <c r="Q8" i="1"/>
  <c r="S8" i="1"/>
  <c r="R8" i="1" s="1"/>
  <c r="T8" i="1"/>
  <c r="N9" i="1"/>
  <c r="O9" i="1"/>
  <c r="M9" i="1" s="1"/>
  <c r="P9" i="1"/>
  <c r="Q9" i="1"/>
  <c r="S9" i="1"/>
  <c r="R9" i="1" s="1"/>
  <c r="T9" i="1"/>
  <c r="O10" i="1"/>
  <c r="M10" i="1" s="1"/>
  <c r="P10" i="1"/>
  <c r="Q10" i="1"/>
  <c r="S10" i="1"/>
  <c r="T10" i="1"/>
  <c r="R10" i="1" s="1"/>
  <c r="L10" i="1" s="1"/>
  <c r="O11" i="1"/>
  <c r="P11" i="1"/>
  <c r="Q11" i="1"/>
  <c r="R11" i="1"/>
  <c r="S11" i="1"/>
  <c r="T11" i="1"/>
  <c r="O12" i="1"/>
  <c r="M12" i="1" s="1"/>
  <c r="P12" i="1"/>
  <c r="Q12" i="1"/>
  <c r="S12" i="1"/>
  <c r="R12" i="1" s="1"/>
  <c r="T12" i="1"/>
  <c r="O13" i="1"/>
  <c r="N13" i="1" s="1"/>
  <c r="P13" i="1"/>
  <c r="Q13" i="1"/>
  <c r="S13" i="1"/>
  <c r="R13" i="1" s="1"/>
  <c r="T13" i="1"/>
  <c r="M14" i="1"/>
  <c r="N14" i="1"/>
  <c r="O14" i="1"/>
  <c r="P14" i="1"/>
  <c r="Q14" i="1"/>
  <c r="S14" i="1"/>
  <c r="T14" i="1"/>
  <c r="R14" i="1" s="1"/>
  <c r="M15" i="1"/>
  <c r="N15" i="1"/>
  <c r="O15" i="1"/>
  <c r="P15" i="1"/>
  <c r="Q15" i="1"/>
  <c r="S15" i="1"/>
  <c r="T15" i="1"/>
  <c r="R15" i="1" s="1"/>
  <c r="L15" i="1" s="1"/>
  <c r="O16" i="1"/>
  <c r="M16" i="1" s="1"/>
  <c r="P16" i="1"/>
  <c r="Q16" i="1"/>
  <c r="R16" i="1"/>
  <c r="S16" i="1"/>
  <c r="T16" i="1"/>
  <c r="L17" i="1"/>
  <c r="M17" i="1"/>
  <c r="O17" i="1"/>
  <c r="N17" i="1" s="1"/>
  <c r="P17" i="1"/>
  <c r="Q17" i="1"/>
  <c r="R17" i="1"/>
  <c r="S17" i="1"/>
  <c r="T17" i="1"/>
  <c r="M18" i="1"/>
  <c r="N18" i="1"/>
  <c r="O18" i="1"/>
  <c r="P18" i="1"/>
  <c r="Q18" i="1"/>
  <c r="S18" i="1"/>
  <c r="R18" i="1" s="1"/>
  <c r="T18" i="1"/>
  <c r="N19" i="1"/>
  <c r="O19" i="1"/>
  <c r="M19" i="1" s="1"/>
  <c r="P19" i="1"/>
  <c r="Q19" i="1"/>
  <c r="S19" i="1"/>
  <c r="R19" i="1" s="1"/>
  <c r="T19" i="1"/>
  <c r="N20" i="1"/>
  <c r="O20" i="1"/>
  <c r="M20" i="1" s="1"/>
  <c r="P20" i="1"/>
  <c r="Q20" i="1"/>
  <c r="R20" i="1"/>
  <c r="S20" i="1"/>
  <c r="T20" i="1"/>
  <c r="N21" i="1"/>
  <c r="O21" i="1"/>
  <c r="M21" i="1" s="1"/>
  <c r="P21" i="1"/>
  <c r="Q21" i="1"/>
  <c r="L21" i="1" s="1"/>
  <c r="R21" i="1"/>
  <c r="S21" i="1"/>
  <c r="T21" i="1"/>
  <c r="L22" i="1"/>
  <c r="O22" i="1"/>
  <c r="M22" i="1" s="1"/>
  <c r="P22" i="1"/>
  <c r="Q22" i="1"/>
  <c r="S22" i="1"/>
  <c r="R22" i="1" s="1"/>
  <c r="T22" i="1"/>
  <c r="O23" i="1"/>
  <c r="M23" i="1" s="1"/>
  <c r="P23" i="1"/>
  <c r="Q23" i="1"/>
  <c r="S23" i="1"/>
  <c r="R23" i="1" s="1"/>
  <c r="L23" i="1" s="1"/>
  <c r="T23" i="1"/>
  <c r="M24" i="1"/>
  <c r="N24" i="1"/>
  <c r="O24" i="1"/>
  <c r="P24" i="1"/>
  <c r="Q24" i="1"/>
  <c r="S24" i="1"/>
  <c r="R24" i="1" s="1"/>
  <c r="L24" i="1" s="1"/>
  <c r="T24" i="1"/>
  <c r="N25" i="1"/>
  <c r="O25" i="1"/>
  <c r="M25" i="1" s="1"/>
  <c r="P25" i="1"/>
  <c r="Q25" i="1"/>
  <c r="S25" i="1"/>
  <c r="R25" i="1" s="1"/>
  <c r="T25" i="1"/>
  <c r="O26" i="1"/>
  <c r="M26" i="1" s="1"/>
  <c r="P26" i="1"/>
  <c r="Q26" i="1"/>
  <c r="S26" i="1"/>
  <c r="T26" i="1"/>
  <c r="R26" i="1" s="1"/>
  <c r="L26" i="1" s="1"/>
  <c r="O27" i="1"/>
  <c r="P27" i="1"/>
  <c r="Q27" i="1"/>
  <c r="R27" i="1"/>
  <c r="S27" i="1"/>
  <c r="T27" i="1"/>
  <c r="O28" i="1"/>
  <c r="M28" i="1" s="1"/>
  <c r="P28" i="1"/>
  <c r="Q28" i="1"/>
  <c r="S28" i="1"/>
  <c r="R28" i="1" s="1"/>
  <c r="T28" i="1"/>
  <c r="M29" i="1"/>
  <c r="O29" i="1"/>
  <c r="N29" i="1" s="1"/>
  <c r="P29" i="1"/>
  <c r="Q29" i="1"/>
  <c r="S29" i="1"/>
  <c r="R29" i="1" s="1"/>
  <c r="T29" i="1"/>
  <c r="M30" i="1"/>
  <c r="N30" i="1"/>
  <c r="O30" i="1"/>
  <c r="P30" i="1"/>
  <c r="Q30" i="1"/>
  <c r="L30" i="1" s="1"/>
  <c r="S30" i="1"/>
  <c r="T30" i="1"/>
  <c r="R30" i="1" s="1"/>
  <c r="M31" i="1"/>
  <c r="N31" i="1"/>
  <c r="L31" i="1" s="1"/>
  <c r="O31" i="1"/>
  <c r="P31" i="1"/>
  <c r="Q31" i="1"/>
  <c r="S31" i="1"/>
  <c r="T31" i="1"/>
  <c r="R31" i="1" s="1"/>
  <c r="O32" i="1"/>
  <c r="M32" i="1" s="1"/>
  <c r="P32" i="1"/>
  <c r="Q32" i="1"/>
  <c r="S32" i="1"/>
  <c r="T32" i="1"/>
  <c r="R32" i="1" s="1"/>
  <c r="L32" i="1" s="1"/>
  <c r="L33" i="1"/>
  <c r="M33" i="1"/>
  <c r="O33" i="1"/>
  <c r="N33" i="1" s="1"/>
  <c r="P33" i="1"/>
  <c r="Q33" i="1"/>
  <c r="S33" i="1"/>
  <c r="R33" i="1" s="1"/>
  <c r="T33" i="1"/>
  <c r="M34" i="1"/>
  <c r="N34" i="1"/>
  <c r="O34" i="1"/>
  <c r="P34" i="1"/>
  <c r="Q34" i="1"/>
  <c r="R34" i="1"/>
  <c r="S34" i="1"/>
  <c r="T34" i="1"/>
  <c r="M35" i="1"/>
  <c r="N35" i="1"/>
  <c r="O35" i="1"/>
  <c r="P35" i="1"/>
  <c r="Q35" i="1"/>
  <c r="S35" i="1"/>
  <c r="R35" i="1" s="1"/>
  <c r="T35" i="1"/>
  <c r="N36" i="1"/>
  <c r="O36" i="1"/>
  <c r="M36" i="1" s="1"/>
  <c r="P36" i="1"/>
  <c r="Q36" i="1"/>
  <c r="R36" i="1"/>
  <c r="S36" i="1"/>
  <c r="T36" i="1"/>
  <c r="O37" i="1"/>
  <c r="M37" i="1" s="1"/>
  <c r="P37" i="1"/>
  <c r="Q37" i="1"/>
  <c r="L37" i="1" s="1"/>
  <c r="R37" i="1"/>
  <c r="S37" i="1"/>
  <c r="T37" i="1"/>
  <c r="N38" i="1"/>
  <c r="O38" i="1"/>
  <c r="M38" i="1" s="1"/>
  <c r="P38" i="1"/>
  <c r="Q38" i="1"/>
  <c r="S38" i="1"/>
  <c r="R38" i="1" s="1"/>
  <c r="L38" i="1" s="1"/>
  <c r="T38" i="1"/>
  <c r="M39" i="1"/>
  <c r="O39" i="1"/>
  <c r="N39" i="1" s="1"/>
  <c r="P39" i="1"/>
  <c r="Q39" i="1"/>
  <c r="S39" i="1"/>
  <c r="R39" i="1" s="1"/>
  <c r="L39" i="1" s="1"/>
  <c r="T39" i="1"/>
  <c r="M40" i="1"/>
  <c r="N40" i="1"/>
  <c r="O40" i="1"/>
  <c r="P40" i="1"/>
  <c r="Q40" i="1"/>
  <c r="S40" i="1"/>
  <c r="R40" i="1" s="1"/>
  <c r="L40" i="1" s="1"/>
  <c r="T40" i="1"/>
  <c r="N41" i="1"/>
  <c r="O41" i="1"/>
  <c r="M41" i="1" s="1"/>
  <c r="P41" i="1"/>
  <c r="Q41" i="1"/>
  <c r="S41" i="1"/>
  <c r="R41" i="1" s="1"/>
  <c r="T41" i="1"/>
  <c r="L42" i="1"/>
  <c r="O42" i="1"/>
  <c r="M42" i="1" s="1"/>
  <c r="P42" i="1"/>
  <c r="Q42" i="1"/>
  <c r="R42" i="1"/>
  <c r="S42" i="1"/>
  <c r="T42" i="1"/>
  <c r="O43" i="1"/>
  <c r="P43" i="1"/>
  <c r="Q43" i="1"/>
  <c r="R43" i="1"/>
  <c r="S43" i="1"/>
  <c r="T43" i="1"/>
  <c r="O44" i="1"/>
  <c r="M44" i="1" s="1"/>
  <c r="P44" i="1"/>
  <c r="Q44" i="1"/>
  <c r="S44" i="1"/>
  <c r="R44" i="1" s="1"/>
  <c r="T44" i="1"/>
  <c r="M45" i="1"/>
  <c r="O45" i="1"/>
  <c r="N45" i="1" s="1"/>
  <c r="P45" i="1"/>
  <c r="Q45" i="1"/>
  <c r="S45" i="1"/>
  <c r="R45" i="1" s="1"/>
  <c r="T45" i="1"/>
  <c r="M46" i="1"/>
  <c r="N46" i="1"/>
  <c r="O46" i="1"/>
  <c r="P46" i="1"/>
  <c r="Q46" i="1"/>
  <c r="S46" i="1"/>
  <c r="T46" i="1"/>
  <c r="R46" i="1" s="1"/>
  <c r="O47" i="1"/>
  <c r="M47" i="1" s="1"/>
  <c r="P47" i="1"/>
  <c r="Q47" i="1"/>
  <c r="S47" i="1"/>
  <c r="T47" i="1"/>
  <c r="R47" i="1" s="1"/>
  <c r="L47" i="1" s="1"/>
  <c r="O48" i="1"/>
  <c r="M48" i="1" s="1"/>
  <c r="P48" i="1"/>
  <c r="Q48" i="1"/>
  <c r="S48" i="1"/>
  <c r="T48" i="1"/>
  <c r="R48" i="1" s="1"/>
  <c r="L48" i="1" s="1"/>
  <c r="M49" i="1"/>
  <c r="O49" i="1"/>
  <c r="N49" i="1" s="1"/>
  <c r="P49" i="1"/>
  <c r="Q49" i="1"/>
  <c r="S49" i="1"/>
  <c r="R49" i="1" s="1"/>
  <c r="L49" i="1" s="1"/>
  <c r="T49" i="1"/>
  <c r="M50" i="1"/>
  <c r="N50" i="1"/>
  <c r="O50" i="1"/>
  <c r="P50" i="1"/>
  <c r="Q50" i="1"/>
  <c r="R50" i="1"/>
  <c r="S50" i="1"/>
  <c r="T50" i="1"/>
  <c r="M51" i="1"/>
  <c r="N51" i="1"/>
  <c r="O51" i="1"/>
  <c r="P51" i="1"/>
  <c r="Q51" i="1"/>
  <c r="S51" i="1"/>
  <c r="R51" i="1" s="1"/>
  <c r="T51" i="1"/>
  <c r="N52" i="1"/>
  <c r="O52" i="1"/>
  <c r="M52" i="1" s="1"/>
  <c r="P52" i="1"/>
  <c r="Q52" i="1"/>
  <c r="R52" i="1"/>
  <c r="S52" i="1"/>
  <c r="T52" i="1"/>
  <c r="O53" i="1"/>
  <c r="M53" i="1" s="1"/>
  <c r="P53" i="1"/>
  <c r="Q53" i="1"/>
  <c r="L53" i="1" s="1"/>
  <c r="R53" i="1"/>
  <c r="S53" i="1"/>
  <c r="T53" i="1"/>
  <c r="O54" i="1"/>
  <c r="M54" i="1" s="1"/>
  <c r="P54" i="1"/>
  <c r="L54" i="1" s="1"/>
  <c r="Q54" i="1"/>
  <c r="S54" i="1"/>
  <c r="R54" i="1" s="1"/>
  <c r="T54" i="1"/>
  <c r="M55" i="1"/>
  <c r="O55" i="1"/>
  <c r="N55" i="1" s="1"/>
  <c r="P55" i="1"/>
  <c r="Q55" i="1"/>
  <c r="S55" i="1"/>
  <c r="R55" i="1" s="1"/>
  <c r="L55" i="1" s="1"/>
  <c r="T55" i="1"/>
  <c r="M56" i="1"/>
  <c r="N56" i="1"/>
  <c r="O56" i="1"/>
  <c r="P56" i="1"/>
  <c r="Q56" i="1"/>
  <c r="S56" i="1"/>
  <c r="R56" i="1" s="1"/>
  <c r="L56" i="1" s="1"/>
  <c r="T56" i="1"/>
  <c r="N57" i="1"/>
  <c r="O57" i="1"/>
  <c r="M57" i="1" s="1"/>
  <c r="P57" i="1"/>
  <c r="Q57" i="1"/>
  <c r="S57" i="1"/>
  <c r="R57" i="1" s="1"/>
  <c r="T57" i="1"/>
  <c r="L58" i="1"/>
  <c r="O58" i="1"/>
  <c r="M58" i="1" s="1"/>
  <c r="P58" i="1"/>
  <c r="Q58" i="1"/>
  <c r="R58" i="1"/>
  <c r="S58" i="1"/>
  <c r="T58" i="1"/>
  <c r="O59" i="1"/>
  <c r="P59" i="1"/>
  <c r="Q59" i="1"/>
  <c r="S59" i="1"/>
  <c r="R59" i="1" s="1"/>
  <c r="T59" i="1"/>
  <c r="O60" i="1"/>
  <c r="M60" i="1" s="1"/>
  <c r="P60" i="1"/>
  <c r="Q60" i="1"/>
  <c r="S60" i="1"/>
  <c r="R60" i="1" s="1"/>
  <c r="L60" i="1" s="1"/>
  <c r="T60" i="1"/>
  <c r="M61" i="1"/>
  <c r="O61" i="1"/>
  <c r="N61" i="1" s="1"/>
  <c r="P61" i="1"/>
  <c r="Q61" i="1"/>
  <c r="S61" i="1"/>
  <c r="R61" i="1" s="1"/>
  <c r="T61" i="1"/>
  <c r="M62" i="1"/>
  <c r="N62" i="1"/>
  <c r="O62" i="1"/>
  <c r="P62" i="1"/>
  <c r="Q62" i="1"/>
  <c r="S62" i="1"/>
  <c r="T62" i="1"/>
  <c r="R62" i="1" s="1"/>
  <c r="N63" i="1"/>
  <c r="O63" i="1"/>
  <c r="M63" i="1" s="1"/>
  <c r="P63" i="1"/>
  <c r="Q63" i="1"/>
  <c r="S63" i="1"/>
  <c r="T63" i="1"/>
  <c r="R63" i="1" s="1"/>
  <c r="L63" i="1" s="1"/>
  <c r="O64" i="1"/>
  <c r="M64" i="1" s="1"/>
  <c r="P64" i="1"/>
  <c r="Q64" i="1"/>
  <c r="S64" i="1"/>
  <c r="T64" i="1"/>
  <c r="R64" i="1" s="1"/>
  <c r="L64" i="1" s="1"/>
  <c r="L65" i="1"/>
  <c r="M65" i="1"/>
  <c r="O65" i="1"/>
  <c r="N65" i="1" s="1"/>
  <c r="P65" i="1"/>
  <c r="Q65" i="1"/>
  <c r="S65" i="1"/>
  <c r="R65" i="1" s="1"/>
  <c r="T65" i="1"/>
  <c r="M66" i="1"/>
  <c r="N66" i="1"/>
  <c r="L66" i="1" s="1"/>
  <c r="O66" i="1"/>
  <c r="P66" i="1"/>
  <c r="Q66" i="1"/>
  <c r="R66" i="1"/>
  <c r="S66" i="1"/>
  <c r="T66" i="1"/>
  <c r="M67" i="1"/>
  <c r="N67" i="1"/>
  <c r="O67" i="1"/>
  <c r="P67" i="1"/>
  <c r="Q67" i="1"/>
  <c r="S67" i="1"/>
  <c r="R67" i="1" s="1"/>
  <c r="T67" i="1"/>
  <c r="N68" i="1"/>
  <c r="O68" i="1"/>
  <c r="M68" i="1" s="1"/>
  <c r="P68" i="1"/>
  <c r="Q68" i="1"/>
  <c r="R68" i="1"/>
  <c r="S68" i="1"/>
  <c r="T68" i="1"/>
  <c r="O69" i="1"/>
  <c r="M69" i="1" s="1"/>
  <c r="P69" i="1"/>
  <c r="Q69" i="1"/>
  <c r="R69" i="1"/>
  <c r="S69" i="1"/>
  <c r="T69" i="1"/>
  <c r="N70" i="1"/>
  <c r="O70" i="1"/>
  <c r="M70" i="1" s="1"/>
  <c r="P70" i="1"/>
  <c r="Q70" i="1"/>
  <c r="S70" i="1"/>
  <c r="R70" i="1" s="1"/>
  <c r="L70" i="1" s="1"/>
  <c r="T70" i="1"/>
  <c r="M71" i="1"/>
  <c r="O71" i="1"/>
  <c r="N71" i="1" s="1"/>
  <c r="P71" i="1"/>
  <c r="Q71" i="1"/>
  <c r="S71" i="1"/>
  <c r="R71" i="1" s="1"/>
  <c r="T71" i="1"/>
  <c r="M72" i="1"/>
  <c r="N72" i="1"/>
  <c r="O72" i="1"/>
  <c r="P72" i="1"/>
  <c r="Q72" i="1"/>
  <c r="S72" i="1"/>
  <c r="R72" i="1" s="1"/>
  <c r="L72" i="1" s="1"/>
  <c r="T72" i="1"/>
  <c r="N73" i="1"/>
  <c r="O73" i="1"/>
  <c r="M73" i="1" s="1"/>
  <c r="P73" i="1"/>
  <c r="Q73" i="1"/>
  <c r="L73" i="1" s="1"/>
  <c r="S73" i="1"/>
  <c r="R73" i="1" s="1"/>
  <c r="T73" i="1"/>
  <c r="L74" i="1"/>
  <c r="O74" i="1"/>
  <c r="M74" i="1" s="1"/>
  <c r="P74" i="1"/>
  <c r="Q74" i="1"/>
  <c r="R74" i="1"/>
  <c r="S74" i="1"/>
  <c r="T74" i="1"/>
  <c r="O75" i="1"/>
  <c r="P75" i="1"/>
  <c r="Q75" i="1"/>
  <c r="S75" i="1"/>
  <c r="R75" i="1" s="1"/>
  <c r="T75" i="1"/>
  <c r="O76" i="1"/>
  <c r="M76" i="1" s="1"/>
  <c r="P76" i="1"/>
  <c r="Q76" i="1"/>
  <c r="S76" i="1"/>
  <c r="R76" i="1" s="1"/>
  <c r="L76" i="1" s="1"/>
  <c r="T76" i="1"/>
  <c r="O77" i="1"/>
  <c r="N77" i="1" s="1"/>
  <c r="P77" i="1"/>
  <c r="Q77" i="1"/>
  <c r="L77" i="1" s="1"/>
  <c r="S77" i="1"/>
  <c r="R77" i="1" s="1"/>
  <c r="T77" i="1"/>
  <c r="M78" i="1"/>
  <c r="N78" i="1"/>
  <c r="O78" i="1"/>
  <c r="P78" i="1"/>
  <c r="Q78" i="1"/>
  <c r="L78" i="1" s="1"/>
  <c r="S78" i="1"/>
  <c r="T78" i="1"/>
  <c r="R78" i="1" s="1"/>
  <c r="O79" i="1"/>
  <c r="M79" i="1" s="1"/>
  <c r="P79" i="1"/>
  <c r="Q79" i="1"/>
  <c r="S79" i="1"/>
  <c r="T79" i="1"/>
  <c r="R79" i="1" s="1"/>
  <c r="O80" i="1"/>
  <c r="P80" i="1"/>
  <c r="Q80" i="1"/>
  <c r="R80" i="1"/>
  <c r="L80" i="1" s="1"/>
  <c r="S80" i="1"/>
  <c r="T80" i="1"/>
  <c r="L81" i="1"/>
  <c r="M81" i="1"/>
  <c r="O81" i="1"/>
  <c r="N81" i="1" s="1"/>
  <c r="P81" i="1"/>
  <c r="Q81" i="1"/>
  <c r="S81" i="1"/>
  <c r="R81" i="1" s="1"/>
  <c r="T81" i="1"/>
  <c r="M82" i="1"/>
  <c r="N82" i="1"/>
  <c r="O82" i="1"/>
  <c r="P82" i="1"/>
  <c r="Q82" i="1"/>
  <c r="S82" i="1"/>
  <c r="R82" i="1" s="1"/>
  <c r="T82" i="1"/>
  <c r="M83" i="1"/>
  <c r="N83" i="1"/>
  <c r="O83" i="1"/>
  <c r="P83" i="1"/>
  <c r="Q83" i="1"/>
  <c r="S83" i="1"/>
  <c r="T83" i="1"/>
  <c r="N84" i="1"/>
  <c r="O84" i="1"/>
  <c r="M84" i="1" s="1"/>
  <c r="P84" i="1"/>
  <c r="Q84" i="1"/>
  <c r="L84" i="1" s="1"/>
  <c r="R84" i="1"/>
  <c r="S84" i="1"/>
  <c r="T84" i="1"/>
  <c r="O85" i="1"/>
  <c r="M85" i="1" s="1"/>
  <c r="P85" i="1"/>
  <c r="Q85" i="1"/>
  <c r="R85" i="1"/>
  <c r="S85" i="1"/>
  <c r="T85" i="1"/>
  <c r="O86" i="1"/>
  <c r="M86" i="1" s="1"/>
  <c r="P86" i="1"/>
  <c r="Q86" i="1"/>
  <c r="S86" i="1"/>
  <c r="R86" i="1" s="1"/>
  <c r="L86" i="1" s="1"/>
  <c r="T86" i="1"/>
  <c r="M87" i="1"/>
  <c r="O87" i="1"/>
  <c r="N87" i="1" s="1"/>
  <c r="P87" i="1"/>
  <c r="Q87" i="1"/>
  <c r="S87" i="1"/>
  <c r="R87" i="1" s="1"/>
  <c r="L87" i="1" s="1"/>
  <c r="T87" i="1"/>
  <c r="L88" i="1"/>
  <c r="M88" i="1"/>
  <c r="N88" i="1"/>
  <c r="O88" i="1"/>
  <c r="P88" i="1"/>
  <c r="Q88" i="1"/>
  <c r="S88" i="1"/>
  <c r="R88" i="1" s="1"/>
  <c r="T88" i="1"/>
  <c r="N89" i="1"/>
  <c r="O89" i="1"/>
  <c r="M89" i="1" s="1"/>
  <c r="P89" i="1"/>
  <c r="Q89" i="1"/>
  <c r="S89" i="1"/>
  <c r="T89" i="1"/>
  <c r="L90" i="1"/>
  <c r="O90" i="1"/>
  <c r="P90" i="1"/>
  <c r="Q90" i="1"/>
  <c r="R90" i="1"/>
  <c r="S90" i="1"/>
  <c r="T90" i="1"/>
  <c r="O91" i="1"/>
  <c r="P91" i="1"/>
  <c r="Q91" i="1"/>
  <c r="R91" i="1"/>
  <c r="L91" i="1" s="1"/>
  <c r="S91" i="1"/>
  <c r="T91" i="1"/>
  <c r="M92" i="1"/>
  <c r="O92" i="1"/>
  <c r="N92" i="1" s="1"/>
  <c r="P92" i="1"/>
  <c r="Q92" i="1"/>
  <c r="S92" i="1"/>
  <c r="R92" i="1" s="1"/>
  <c r="L92" i="1" s="1"/>
  <c r="T92" i="1"/>
  <c r="O93" i="1"/>
  <c r="N93" i="1" s="1"/>
  <c r="P93" i="1"/>
  <c r="Q93" i="1"/>
  <c r="S93" i="1"/>
  <c r="T93" i="1"/>
  <c r="M94" i="1"/>
  <c r="N94" i="1"/>
  <c r="O94" i="1"/>
  <c r="P94" i="1"/>
  <c r="Q94" i="1"/>
  <c r="S94" i="1"/>
  <c r="T94" i="1"/>
  <c r="R94" i="1" s="1"/>
  <c r="N95" i="1"/>
  <c r="L95" i="1" s="1"/>
  <c r="O95" i="1"/>
  <c r="M95" i="1" s="1"/>
  <c r="P95" i="1"/>
  <c r="Q95" i="1"/>
  <c r="R95" i="1"/>
  <c r="S95" i="1"/>
  <c r="T95" i="1"/>
  <c r="O96" i="1"/>
  <c r="P96" i="1"/>
  <c r="Q96" i="1"/>
  <c r="S96" i="1"/>
  <c r="T96" i="1"/>
  <c r="R96" i="1" s="1"/>
  <c r="L96" i="1" s="1"/>
  <c r="L97" i="1"/>
  <c r="M97" i="1"/>
  <c r="O97" i="1"/>
  <c r="N97" i="1" s="1"/>
  <c r="P97" i="1"/>
  <c r="Q97" i="1"/>
  <c r="S97" i="1"/>
  <c r="R97" i="1" s="1"/>
  <c r="T97" i="1"/>
  <c r="M98" i="1"/>
  <c r="N98" i="1"/>
  <c r="O98" i="1"/>
  <c r="P98" i="1"/>
  <c r="Q98" i="1"/>
  <c r="R98" i="1"/>
  <c r="S98" i="1"/>
  <c r="T98" i="1"/>
  <c r="M99" i="1"/>
  <c r="N99" i="1"/>
  <c r="O99" i="1"/>
  <c r="P99" i="1"/>
  <c r="Q99" i="1"/>
  <c r="S99" i="1"/>
  <c r="R99" i="1" s="1"/>
  <c r="T99" i="1"/>
  <c r="N100" i="1"/>
  <c r="O100" i="1"/>
  <c r="M100" i="1" s="1"/>
  <c r="P100" i="1"/>
  <c r="Q100" i="1"/>
  <c r="R100" i="1"/>
  <c r="S100" i="1"/>
  <c r="T100" i="1"/>
  <c r="O101" i="1"/>
  <c r="M101" i="1" s="1"/>
  <c r="P101" i="1"/>
  <c r="Q101" i="1"/>
  <c r="R101" i="1"/>
  <c r="L101" i="1" s="1"/>
  <c r="S101" i="1"/>
  <c r="T101" i="1"/>
  <c r="L102" i="1"/>
  <c r="N102" i="1"/>
  <c r="O102" i="1"/>
  <c r="M102" i="1" s="1"/>
  <c r="P102" i="1"/>
  <c r="Q102" i="1"/>
  <c r="S102" i="1"/>
  <c r="R102" i="1" s="1"/>
  <c r="T102" i="1"/>
  <c r="M103" i="1"/>
  <c r="O103" i="1"/>
  <c r="N103" i="1" s="1"/>
  <c r="P103" i="1"/>
  <c r="Q103" i="1"/>
  <c r="S103" i="1"/>
  <c r="R103" i="1" s="1"/>
  <c r="L103" i="1" s="1"/>
  <c r="T103" i="1"/>
  <c r="L104" i="1"/>
  <c r="M104" i="1"/>
  <c r="N104" i="1"/>
  <c r="O104" i="1"/>
  <c r="P104" i="1"/>
  <c r="Q104" i="1"/>
  <c r="S104" i="1"/>
  <c r="R104" i="1" s="1"/>
  <c r="T104" i="1"/>
  <c r="N105" i="1"/>
  <c r="O105" i="1"/>
  <c r="M105" i="1" s="1"/>
  <c r="P105" i="1"/>
  <c r="Q105" i="1"/>
  <c r="S105" i="1"/>
  <c r="T105" i="1"/>
  <c r="L106" i="1"/>
  <c r="O106" i="1"/>
  <c r="P106" i="1"/>
  <c r="Q106" i="1"/>
  <c r="R106" i="1"/>
  <c r="S106" i="1"/>
  <c r="T106" i="1"/>
  <c r="O107" i="1"/>
  <c r="P107" i="1"/>
  <c r="Q107" i="1"/>
  <c r="L107" i="1" s="1"/>
  <c r="R107" i="1"/>
  <c r="S107" i="1"/>
  <c r="T107" i="1"/>
  <c r="M108" i="1"/>
  <c r="O108" i="1"/>
  <c r="N108" i="1" s="1"/>
  <c r="P108" i="1"/>
  <c r="Q108" i="1"/>
  <c r="S108" i="1"/>
  <c r="R108" i="1" s="1"/>
  <c r="L108" i="1" s="1"/>
  <c r="T108" i="1"/>
  <c r="O109" i="1"/>
  <c r="N109" i="1" s="1"/>
  <c r="P109" i="1"/>
  <c r="Q109" i="1"/>
  <c r="S109" i="1"/>
  <c r="T109" i="1"/>
  <c r="M110" i="1"/>
  <c r="N110" i="1"/>
  <c r="O110" i="1"/>
  <c r="P110" i="1"/>
  <c r="Q110" i="1"/>
  <c r="S110" i="1"/>
  <c r="T110" i="1"/>
  <c r="R110" i="1" s="1"/>
  <c r="M111" i="1"/>
  <c r="O111" i="1"/>
  <c r="N111" i="1" s="1"/>
  <c r="P111" i="1"/>
  <c r="Q111" i="1"/>
  <c r="R111" i="1"/>
  <c r="L111" i="1" s="1"/>
  <c r="S111" i="1"/>
  <c r="T111" i="1"/>
  <c r="O112" i="1"/>
  <c r="P112" i="1"/>
  <c r="Q112" i="1"/>
  <c r="S112" i="1"/>
  <c r="T112" i="1"/>
  <c r="R112" i="1" s="1"/>
  <c r="M113" i="1"/>
  <c r="O113" i="1"/>
  <c r="N113" i="1" s="1"/>
  <c r="P113" i="1"/>
  <c r="Q113" i="1"/>
  <c r="S113" i="1"/>
  <c r="R113" i="1" s="1"/>
  <c r="L113" i="1" s="1"/>
  <c r="T113" i="1"/>
  <c r="M114" i="1"/>
  <c r="N114" i="1"/>
  <c r="O114" i="1"/>
  <c r="P114" i="1"/>
  <c r="Q114" i="1"/>
  <c r="R114" i="1"/>
  <c r="S114" i="1"/>
  <c r="T114" i="1"/>
  <c r="M115" i="1"/>
  <c r="N115" i="1"/>
  <c r="O115" i="1"/>
  <c r="P115" i="1"/>
  <c r="Q115" i="1"/>
  <c r="S115" i="1"/>
  <c r="T115" i="1"/>
  <c r="N116" i="1"/>
  <c r="O116" i="1"/>
  <c r="M116" i="1" s="1"/>
  <c r="P116" i="1"/>
  <c r="Q116" i="1"/>
  <c r="R116" i="1"/>
  <c r="S116" i="1"/>
  <c r="T116" i="1"/>
  <c r="O117" i="1"/>
  <c r="M117" i="1" s="1"/>
  <c r="P117" i="1"/>
  <c r="Q117" i="1"/>
  <c r="R117" i="1"/>
  <c r="L117" i="1" s="1"/>
  <c r="S117" i="1"/>
  <c r="T117" i="1"/>
  <c r="L118" i="1"/>
  <c r="O118" i="1"/>
  <c r="M118" i="1" s="1"/>
  <c r="P118" i="1"/>
  <c r="Q118" i="1"/>
  <c r="S118" i="1"/>
  <c r="R118" i="1" s="1"/>
  <c r="T118" i="1"/>
  <c r="M119" i="1"/>
  <c r="O119" i="1"/>
  <c r="N119" i="1" s="1"/>
  <c r="P119" i="1"/>
  <c r="Q119" i="1"/>
  <c r="L119" i="1" s="1"/>
  <c r="S119" i="1"/>
  <c r="R119" i="1" s="1"/>
  <c r="T119" i="1"/>
  <c r="M120" i="1"/>
  <c r="N120" i="1"/>
  <c r="O120" i="1"/>
  <c r="P120" i="1"/>
  <c r="Q120" i="1"/>
  <c r="L120" i="1" s="1"/>
  <c r="S120" i="1"/>
  <c r="R120" i="1" s="1"/>
  <c r="T120" i="1"/>
  <c r="N121" i="1"/>
  <c r="O121" i="1"/>
  <c r="M121" i="1" s="1"/>
  <c r="P121" i="1"/>
  <c r="Q121" i="1"/>
  <c r="S121" i="1"/>
  <c r="T121" i="1"/>
  <c r="L122" i="1"/>
  <c r="O122" i="1"/>
  <c r="P122" i="1"/>
  <c r="Q122" i="1"/>
  <c r="R122" i="1"/>
  <c r="S122" i="1"/>
  <c r="T122" i="1"/>
  <c r="L123" i="1"/>
  <c r="O123" i="1"/>
  <c r="P123" i="1"/>
  <c r="Q123" i="1"/>
  <c r="R123" i="1"/>
  <c r="S123" i="1"/>
  <c r="T123" i="1"/>
  <c r="M124" i="1"/>
  <c r="O124" i="1"/>
  <c r="N124" i="1" s="1"/>
  <c r="P124" i="1"/>
  <c r="Q124" i="1"/>
  <c r="S124" i="1"/>
  <c r="R124" i="1" s="1"/>
  <c r="L124" i="1" s="1"/>
  <c r="T124" i="1"/>
  <c r="O125" i="1"/>
  <c r="N125" i="1" s="1"/>
  <c r="P125" i="1"/>
  <c r="Q125" i="1"/>
  <c r="L125" i="1" s="1"/>
  <c r="S125" i="1"/>
  <c r="R125" i="1" s="1"/>
  <c r="T125" i="1"/>
  <c r="M126" i="1"/>
  <c r="N126" i="1"/>
  <c r="O126" i="1"/>
  <c r="P126" i="1"/>
  <c r="Q126" i="1"/>
  <c r="S126" i="1"/>
  <c r="T126" i="1"/>
  <c r="R126" i="1" s="1"/>
  <c r="O127" i="1"/>
  <c r="M127" i="1" s="1"/>
  <c r="P127" i="1"/>
  <c r="Q127" i="1"/>
  <c r="R127" i="1"/>
  <c r="L127" i="1" s="1"/>
  <c r="S127" i="1"/>
  <c r="T127" i="1"/>
  <c r="O128" i="1"/>
  <c r="P128" i="1"/>
  <c r="Q128" i="1"/>
  <c r="R128" i="1"/>
  <c r="L128" i="1" s="1"/>
  <c r="S128" i="1"/>
  <c r="T128" i="1"/>
  <c r="L129" i="1"/>
  <c r="M129" i="1"/>
  <c r="O129" i="1"/>
  <c r="N129" i="1" s="1"/>
  <c r="P129" i="1"/>
  <c r="Q129" i="1"/>
  <c r="S129" i="1"/>
  <c r="R129" i="1" s="1"/>
  <c r="T129" i="1"/>
  <c r="M130" i="1"/>
  <c r="N130" i="1"/>
  <c r="O130" i="1"/>
  <c r="P130" i="1"/>
  <c r="Q130" i="1"/>
  <c r="S130" i="1"/>
  <c r="T130" i="1"/>
  <c r="R130" i="1" s="1"/>
  <c r="M131" i="1"/>
  <c r="N131" i="1"/>
  <c r="O131" i="1"/>
  <c r="P131" i="1"/>
  <c r="Q131" i="1"/>
  <c r="S131" i="1"/>
  <c r="R131" i="1" s="1"/>
  <c r="T131" i="1"/>
  <c r="N132" i="1"/>
  <c r="O132" i="1"/>
  <c r="M132" i="1" s="1"/>
  <c r="P132" i="1"/>
  <c r="Q132" i="1"/>
  <c r="R132" i="1"/>
  <c r="S132" i="1"/>
  <c r="T132" i="1"/>
  <c r="O133" i="1"/>
  <c r="M133" i="1" s="1"/>
  <c r="P133" i="1"/>
  <c r="Q133" i="1"/>
  <c r="R133" i="1"/>
  <c r="S133" i="1"/>
  <c r="T133" i="1"/>
  <c r="O134" i="1"/>
  <c r="M134" i="1" s="1"/>
  <c r="P134" i="1"/>
  <c r="L134" i="1" s="1"/>
  <c r="Q134" i="1"/>
  <c r="S134" i="1"/>
  <c r="R134" i="1" s="1"/>
  <c r="T134" i="1"/>
  <c r="M135" i="1"/>
  <c r="O135" i="1"/>
  <c r="N135" i="1" s="1"/>
  <c r="L135" i="1" s="1"/>
  <c r="P135" i="1"/>
  <c r="Q135" i="1"/>
  <c r="S135" i="1"/>
  <c r="R135" i="1" s="1"/>
  <c r="T135" i="1"/>
  <c r="M136" i="1"/>
  <c r="N136" i="1"/>
  <c r="O136" i="1"/>
  <c r="P136" i="1"/>
  <c r="Q136" i="1"/>
  <c r="L136" i="1" s="1"/>
  <c r="S136" i="1"/>
  <c r="R136" i="1" s="1"/>
  <c r="T136" i="1"/>
  <c r="N137" i="1"/>
  <c r="O137" i="1"/>
  <c r="M137" i="1" s="1"/>
  <c r="P137" i="1"/>
  <c r="Q137" i="1"/>
  <c r="S137" i="1"/>
  <c r="T137" i="1"/>
  <c r="L138" i="1"/>
  <c r="O138" i="1"/>
  <c r="P138" i="1"/>
  <c r="Q138" i="1"/>
  <c r="R138" i="1"/>
  <c r="S138" i="1"/>
  <c r="T138" i="1"/>
  <c r="O139" i="1"/>
  <c r="P139" i="1"/>
  <c r="Q139" i="1"/>
  <c r="S139" i="1"/>
  <c r="R139" i="1" s="1"/>
  <c r="L139" i="1" s="1"/>
  <c r="T139" i="1"/>
  <c r="M140" i="1"/>
  <c r="O140" i="1"/>
  <c r="N140" i="1" s="1"/>
  <c r="P140" i="1"/>
  <c r="Q140" i="1"/>
  <c r="S140" i="1"/>
  <c r="R140" i="1" s="1"/>
  <c r="L140" i="1" s="1"/>
  <c r="T140" i="1"/>
  <c r="O141" i="1"/>
  <c r="N141" i="1" s="1"/>
  <c r="P141" i="1"/>
  <c r="Q141" i="1"/>
  <c r="S141" i="1"/>
  <c r="T141" i="1"/>
  <c r="M142" i="1"/>
  <c r="N142" i="1"/>
  <c r="O142" i="1"/>
  <c r="P142" i="1"/>
  <c r="Q142" i="1"/>
  <c r="L142" i="1" s="1"/>
  <c r="S142" i="1"/>
  <c r="T142" i="1"/>
  <c r="R142" i="1" s="1"/>
  <c r="M143" i="1"/>
  <c r="O143" i="1"/>
  <c r="N143" i="1" s="1"/>
  <c r="P143" i="1"/>
  <c r="Q143" i="1"/>
  <c r="R143" i="1"/>
  <c r="L143" i="1" s="1"/>
  <c r="S143" i="1"/>
  <c r="T143" i="1"/>
  <c r="O144" i="1"/>
  <c r="P144" i="1"/>
  <c r="Q144" i="1"/>
  <c r="S144" i="1"/>
  <c r="T144" i="1"/>
  <c r="R144" i="1" s="1"/>
  <c r="L144" i="1" s="1"/>
  <c r="M145" i="1"/>
  <c r="O145" i="1"/>
  <c r="N145" i="1" s="1"/>
  <c r="P145" i="1"/>
  <c r="Q145" i="1"/>
  <c r="S145" i="1"/>
  <c r="R145" i="1" s="1"/>
  <c r="L145" i="1" s="1"/>
  <c r="T145" i="1"/>
  <c r="M146" i="1"/>
  <c r="N146" i="1"/>
  <c r="O146" i="1"/>
  <c r="P146" i="1"/>
  <c r="Q146" i="1"/>
  <c r="S146" i="1"/>
  <c r="R146" i="1" s="1"/>
  <c r="T146" i="1"/>
  <c r="M147" i="1"/>
  <c r="N147" i="1"/>
  <c r="O147" i="1"/>
  <c r="P147" i="1"/>
  <c r="Q147" i="1"/>
  <c r="S147" i="1"/>
  <c r="T147" i="1"/>
  <c r="N148" i="1"/>
  <c r="O148" i="1"/>
  <c r="M148" i="1" s="1"/>
  <c r="P148" i="1"/>
  <c r="Q148" i="1"/>
  <c r="L148" i="1" s="1"/>
  <c r="R148" i="1"/>
  <c r="S148" i="1"/>
  <c r="T148" i="1"/>
  <c r="O149" i="1"/>
  <c r="P149" i="1"/>
  <c r="Q149" i="1"/>
  <c r="R149" i="1"/>
  <c r="L149" i="1" s="1"/>
  <c r="S149" i="1"/>
  <c r="T149" i="1"/>
  <c r="N150" i="1"/>
  <c r="O150" i="1"/>
  <c r="M150" i="1" s="1"/>
  <c r="P150" i="1"/>
  <c r="Q150" i="1"/>
  <c r="S150" i="1"/>
  <c r="R150" i="1" s="1"/>
  <c r="L150" i="1" s="1"/>
  <c r="T150" i="1"/>
  <c r="M151" i="1"/>
  <c r="O151" i="1"/>
  <c r="N151" i="1" s="1"/>
  <c r="P151" i="1"/>
  <c r="Q151" i="1"/>
  <c r="S151" i="1"/>
  <c r="R151" i="1" s="1"/>
  <c r="T151" i="1"/>
  <c r="M152" i="1"/>
  <c r="N152" i="1"/>
  <c r="O152" i="1"/>
  <c r="P152" i="1"/>
  <c r="Q152" i="1"/>
  <c r="S152" i="1"/>
  <c r="T152" i="1"/>
  <c r="N153" i="1"/>
  <c r="O153" i="1"/>
  <c r="M153" i="1" s="1"/>
  <c r="P153" i="1"/>
  <c r="Q153" i="1"/>
  <c r="S153" i="1"/>
  <c r="R153" i="1" s="1"/>
  <c r="T153" i="1"/>
  <c r="L154" i="1"/>
  <c r="O154" i="1"/>
  <c r="P154" i="1"/>
  <c r="Q154" i="1"/>
  <c r="R154" i="1"/>
  <c r="S154" i="1"/>
  <c r="T154" i="1"/>
  <c r="O155" i="1"/>
  <c r="P155" i="1"/>
  <c r="Q155" i="1"/>
  <c r="R155" i="1"/>
  <c r="S155" i="1"/>
  <c r="T155" i="1"/>
  <c r="M156" i="1"/>
  <c r="O156" i="1"/>
  <c r="N156" i="1" s="1"/>
  <c r="P156" i="1"/>
  <c r="Q156" i="1"/>
  <c r="S156" i="1"/>
  <c r="R156" i="1" s="1"/>
  <c r="T156" i="1"/>
  <c r="M157" i="1"/>
  <c r="O157" i="1"/>
  <c r="N157" i="1" s="1"/>
  <c r="L157" i="1" s="1"/>
  <c r="P157" i="1"/>
  <c r="Q157" i="1"/>
  <c r="S157" i="1"/>
  <c r="T157" i="1"/>
  <c r="M158" i="1"/>
  <c r="N158" i="1"/>
  <c r="O158" i="1"/>
  <c r="P158" i="1"/>
  <c r="Q158" i="1"/>
  <c r="S158" i="1"/>
  <c r="T158" i="1"/>
  <c r="R158" i="1" s="1"/>
  <c r="N159" i="1"/>
  <c r="O159" i="1"/>
  <c r="M159" i="1" s="1"/>
  <c r="P159" i="1"/>
  <c r="Q159" i="1"/>
  <c r="R159" i="1"/>
  <c r="L159" i="1" s="1"/>
  <c r="S159" i="1"/>
  <c r="T159" i="1"/>
  <c r="O160" i="1"/>
  <c r="P160" i="1"/>
  <c r="Q160" i="1"/>
  <c r="S160" i="1"/>
  <c r="T160" i="1"/>
  <c r="R160" i="1" s="1"/>
  <c r="L160" i="1" s="1"/>
  <c r="L161" i="1"/>
  <c r="M161" i="1"/>
  <c r="O161" i="1"/>
  <c r="N161" i="1" s="1"/>
  <c r="P161" i="1"/>
  <c r="Q161" i="1"/>
  <c r="S161" i="1"/>
  <c r="R161" i="1" s="1"/>
  <c r="T161" i="1"/>
  <c r="M162" i="1"/>
  <c r="N162" i="1"/>
  <c r="O162" i="1"/>
  <c r="P162" i="1"/>
  <c r="Q162" i="1"/>
  <c r="S162" i="1"/>
  <c r="R162" i="1" s="1"/>
  <c r="T162" i="1"/>
  <c r="M163" i="1"/>
  <c r="N163" i="1"/>
  <c r="O163" i="1"/>
  <c r="P163" i="1"/>
  <c r="Q163" i="1"/>
  <c r="S163" i="1"/>
  <c r="R163" i="1" s="1"/>
  <c r="T163" i="1"/>
  <c r="N164" i="1"/>
  <c r="O164" i="1"/>
  <c r="M164" i="1" s="1"/>
  <c r="P164" i="1"/>
  <c r="Q164" i="1"/>
  <c r="R164" i="1"/>
  <c r="S164" i="1"/>
  <c r="T164" i="1"/>
  <c r="O165" i="1"/>
  <c r="P165" i="1"/>
  <c r="Q165" i="1"/>
  <c r="S165" i="1"/>
  <c r="R165" i="1" s="1"/>
  <c r="L165" i="1" s="1"/>
  <c r="T165" i="1"/>
  <c r="O166" i="1"/>
  <c r="M166" i="1" s="1"/>
  <c r="P166" i="1"/>
  <c r="Q166" i="1"/>
  <c r="S166" i="1"/>
  <c r="R166" i="1" s="1"/>
  <c r="T166" i="1"/>
  <c r="M167" i="1"/>
  <c r="O167" i="1"/>
  <c r="N167" i="1" s="1"/>
  <c r="P167" i="1"/>
  <c r="Q167" i="1"/>
  <c r="L167" i="1" s="1"/>
  <c r="S167" i="1"/>
  <c r="R167" i="1" s="1"/>
  <c r="T167" i="1"/>
  <c r="M168" i="1"/>
  <c r="N168" i="1"/>
  <c r="O168" i="1"/>
  <c r="P168" i="1"/>
  <c r="Q168" i="1"/>
  <c r="S168" i="1"/>
  <c r="T168" i="1"/>
  <c r="O169" i="1"/>
  <c r="M169" i="1" s="1"/>
  <c r="P169" i="1"/>
  <c r="Q169" i="1"/>
  <c r="S169" i="1"/>
  <c r="T169" i="1"/>
  <c r="L170" i="1"/>
  <c r="O170" i="1"/>
  <c r="P170" i="1"/>
  <c r="Q170" i="1"/>
  <c r="R170" i="1"/>
  <c r="S170" i="1"/>
  <c r="T170" i="1"/>
  <c r="O171" i="1"/>
  <c r="N171" i="1" s="1"/>
  <c r="P171" i="1"/>
  <c r="Q171" i="1"/>
  <c r="L171" i="1" s="1"/>
  <c r="R171" i="1"/>
  <c r="S171" i="1"/>
  <c r="T171" i="1"/>
  <c r="M172" i="1"/>
  <c r="O172" i="1"/>
  <c r="N172" i="1" s="1"/>
  <c r="P172" i="1"/>
  <c r="Q172" i="1"/>
  <c r="S172" i="1"/>
  <c r="R172" i="1" s="1"/>
  <c r="L172" i="1" s="1"/>
  <c r="T172" i="1"/>
  <c r="M173" i="1"/>
  <c r="O173" i="1"/>
  <c r="N173" i="1" s="1"/>
  <c r="P173" i="1"/>
  <c r="Q173" i="1"/>
  <c r="S173" i="1"/>
  <c r="T173" i="1"/>
  <c r="M174" i="1"/>
  <c r="N174" i="1"/>
  <c r="O174" i="1"/>
  <c r="P174" i="1"/>
  <c r="Q174" i="1"/>
  <c r="L174" i="1" s="1"/>
  <c r="R174" i="1"/>
  <c r="S174" i="1"/>
  <c r="T174" i="1"/>
  <c r="M175" i="1"/>
  <c r="O175" i="1"/>
  <c r="N175" i="1" s="1"/>
  <c r="P175" i="1"/>
  <c r="Q175" i="1"/>
  <c r="S175" i="1"/>
  <c r="T175" i="1"/>
  <c r="R175" i="1" s="1"/>
  <c r="L175" i="1" s="1"/>
  <c r="O176" i="1"/>
  <c r="P176" i="1"/>
  <c r="Q176" i="1"/>
  <c r="S176" i="1"/>
  <c r="T176" i="1"/>
  <c r="R176" i="1" s="1"/>
  <c r="L176" i="1" s="1"/>
  <c r="M177" i="1"/>
  <c r="O177" i="1"/>
  <c r="N177" i="1" s="1"/>
  <c r="P177" i="1"/>
  <c r="Q177" i="1"/>
  <c r="S177" i="1"/>
  <c r="R177" i="1" s="1"/>
  <c r="L177" i="1" s="1"/>
  <c r="T177" i="1"/>
  <c r="M178" i="1"/>
  <c r="N178" i="1"/>
  <c r="O178" i="1"/>
  <c r="P178" i="1"/>
  <c r="Q178" i="1"/>
  <c r="S178" i="1"/>
  <c r="T178" i="1"/>
  <c r="R178" i="1" s="1"/>
  <c r="M179" i="1"/>
  <c r="N179" i="1"/>
  <c r="O179" i="1"/>
  <c r="P179" i="1"/>
  <c r="Q179" i="1"/>
  <c r="S179" i="1"/>
  <c r="T179" i="1"/>
  <c r="L180" i="1"/>
  <c r="O180" i="1"/>
  <c r="M180" i="1" s="1"/>
  <c r="P180" i="1"/>
  <c r="Q180" i="1"/>
  <c r="R180" i="1"/>
  <c r="S180" i="1"/>
  <c r="T180" i="1"/>
  <c r="O181" i="1"/>
  <c r="M181" i="1" s="1"/>
  <c r="P181" i="1"/>
  <c r="Q181" i="1"/>
  <c r="S181" i="1"/>
  <c r="R181" i="1" s="1"/>
  <c r="L181" i="1" s="1"/>
  <c r="T181" i="1"/>
  <c r="L182" i="1"/>
  <c r="M182" i="1"/>
  <c r="N182" i="1"/>
  <c r="O182" i="1"/>
  <c r="P182" i="1"/>
  <c r="Q182" i="1"/>
  <c r="S182" i="1"/>
  <c r="R182" i="1" s="1"/>
  <c r="T182" i="1"/>
  <c r="M183" i="1"/>
  <c r="O183" i="1"/>
  <c r="N183" i="1" s="1"/>
  <c r="P183" i="1"/>
  <c r="Q183" i="1"/>
  <c r="S183" i="1"/>
  <c r="T183" i="1"/>
  <c r="M184" i="1"/>
  <c r="N184" i="1"/>
  <c r="O184" i="1"/>
  <c r="P184" i="1"/>
  <c r="Q184" i="1"/>
  <c r="S184" i="1"/>
  <c r="T184" i="1"/>
  <c r="O185" i="1"/>
  <c r="M185" i="1" s="1"/>
  <c r="P185" i="1"/>
  <c r="Q185" i="1"/>
  <c r="S185" i="1"/>
  <c r="R185" i="1" s="1"/>
  <c r="T185" i="1"/>
  <c r="O186" i="1"/>
  <c r="P186" i="1"/>
  <c r="Q186" i="1"/>
  <c r="L186" i="1" s="1"/>
  <c r="R186" i="1"/>
  <c r="S186" i="1"/>
  <c r="T186" i="1"/>
  <c r="M187" i="1"/>
  <c r="O187" i="1"/>
  <c r="N187" i="1" s="1"/>
  <c r="P187" i="1"/>
  <c r="Q187" i="1"/>
  <c r="L187" i="1" s="1"/>
  <c r="R187" i="1"/>
  <c r="S187" i="1"/>
  <c r="T187" i="1"/>
  <c r="O188" i="1"/>
  <c r="N188" i="1" s="1"/>
  <c r="P188" i="1"/>
  <c r="Q188" i="1"/>
  <c r="S188" i="1"/>
  <c r="T188" i="1"/>
  <c r="O189" i="1"/>
  <c r="M189" i="1" s="1"/>
  <c r="P189" i="1"/>
  <c r="Q189" i="1"/>
  <c r="S189" i="1"/>
  <c r="R189" i="1" s="1"/>
  <c r="T189" i="1"/>
  <c r="M190" i="1"/>
  <c r="N190" i="1"/>
  <c r="O190" i="1"/>
  <c r="P190" i="1"/>
  <c r="Q190" i="1"/>
  <c r="R190" i="1"/>
  <c r="S190" i="1"/>
  <c r="T190" i="1"/>
  <c r="O191" i="1"/>
  <c r="M191" i="1" s="1"/>
  <c r="P191" i="1"/>
  <c r="Q191" i="1"/>
  <c r="S191" i="1"/>
  <c r="T191" i="1"/>
  <c r="R191" i="1" s="1"/>
  <c r="L191" i="1" s="1"/>
  <c r="O192" i="1"/>
  <c r="P192" i="1"/>
  <c r="Q192" i="1"/>
  <c r="R192" i="1"/>
  <c r="L192" i="1" s="1"/>
  <c r="S192" i="1"/>
  <c r="T192" i="1"/>
  <c r="M193" i="1"/>
  <c r="O193" i="1"/>
  <c r="N193" i="1" s="1"/>
  <c r="P193" i="1"/>
  <c r="Q193" i="1"/>
  <c r="S193" i="1"/>
  <c r="R193" i="1" s="1"/>
  <c r="L193" i="1" s="1"/>
  <c r="T193" i="1"/>
  <c r="M194" i="1"/>
  <c r="N194" i="1"/>
  <c r="L194" i="1" s="1"/>
  <c r="O194" i="1"/>
  <c r="P194" i="1"/>
  <c r="Q194" i="1"/>
  <c r="R194" i="1"/>
  <c r="S194" i="1"/>
  <c r="T194" i="1"/>
  <c r="M195" i="1"/>
  <c r="N195" i="1"/>
  <c r="O195" i="1"/>
  <c r="P195" i="1"/>
  <c r="Q195" i="1"/>
  <c r="S195" i="1"/>
  <c r="T195" i="1"/>
  <c r="N196" i="1"/>
  <c r="O196" i="1"/>
  <c r="M196" i="1" s="1"/>
  <c r="P196" i="1"/>
  <c r="Q196" i="1"/>
  <c r="L196" i="1" s="1"/>
  <c r="R196" i="1"/>
  <c r="S196" i="1"/>
  <c r="T196" i="1"/>
  <c r="L197" i="1"/>
  <c r="N197" i="1"/>
  <c r="O197" i="1"/>
  <c r="M197" i="1" s="1"/>
  <c r="P197" i="1"/>
  <c r="Q197" i="1"/>
  <c r="R197" i="1"/>
  <c r="S197" i="1"/>
  <c r="T197" i="1"/>
  <c r="O198" i="1"/>
  <c r="M198" i="1" s="1"/>
  <c r="P198" i="1"/>
  <c r="Q198" i="1"/>
  <c r="S198" i="1"/>
  <c r="R198" i="1" s="1"/>
  <c r="L198" i="1" s="1"/>
  <c r="T198" i="1"/>
  <c r="L199" i="1"/>
  <c r="M199" i="1"/>
  <c r="O199" i="1"/>
  <c r="N199" i="1" s="1"/>
  <c r="P199" i="1"/>
  <c r="Q199" i="1"/>
  <c r="S199" i="1"/>
  <c r="R199" i="1" s="1"/>
  <c r="T199" i="1"/>
  <c r="M200" i="1"/>
  <c r="N200" i="1"/>
  <c r="O200" i="1"/>
  <c r="P200" i="1"/>
  <c r="Q200" i="1"/>
  <c r="S200" i="1"/>
  <c r="T200" i="1"/>
  <c r="O201" i="1"/>
  <c r="M201" i="1" s="1"/>
  <c r="P201" i="1"/>
  <c r="Q201" i="1"/>
  <c r="S201" i="1"/>
  <c r="R201" i="1" s="1"/>
  <c r="T201" i="1"/>
  <c r="O202" i="1"/>
  <c r="P202" i="1"/>
  <c r="Q202" i="1"/>
  <c r="S202" i="1"/>
  <c r="T202" i="1"/>
  <c r="R202" i="1" s="1"/>
  <c r="L202" i="1" s="1"/>
  <c r="O203" i="1"/>
  <c r="N203" i="1" s="1"/>
  <c r="P203" i="1"/>
  <c r="Q203" i="1"/>
  <c r="S203" i="1"/>
  <c r="R203" i="1" s="1"/>
  <c r="L203" i="1" s="1"/>
  <c r="T203" i="1"/>
  <c r="O204" i="1"/>
  <c r="N204" i="1" s="1"/>
  <c r="P204" i="1"/>
  <c r="Q204" i="1"/>
  <c r="S204" i="1"/>
  <c r="R204" i="1" s="1"/>
  <c r="T204" i="1"/>
  <c r="M205" i="1"/>
  <c r="N205" i="1"/>
  <c r="O205" i="1"/>
  <c r="P205" i="1"/>
  <c r="Q205" i="1"/>
  <c r="L205" i="1" s="1"/>
  <c r="S205" i="1"/>
  <c r="R205" i="1" s="1"/>
  <c r="T205" i="1"/>
  <c r="M206" i="1"/>
  <c r="N206" i="1"/>
  <c r="O206" i="1"/>
  <c r="P206" i="1"/>
  <c r="Q206" i="1"/>
  <c r="S206" i="1"/>
  <c r="T206" i="1"/>
  <c r="R206" i="1" s="1"/>
  <c r="M207" i="1"/>
  <c r="N207" i="1"/>
  <c r="L207" i="1" s="1"/>
  <c r="O207" i="1"/>
  <c r="P207" i="1"/>
  <c r="Q207" i="1"/>
  <c r="S207" i="1"/>
  <c r="T207" i="1"/>
  <c r="R207" i="1" s="1"/>
  <c r="O208" i="1"/>
  <c r="M208" i="1" s="1"/>
  <c r="P208" i="1"/>
  <c r="Q208" i="1"/>
  <c r="S208" i="1"/>
  <c r="R208" i="1" s="1"/>
  <c r="L208" i="1" s="1"/>
  <c r="T208" i="1"/>
  <c r="M209" i="1"/>
  <c r="O209" i="1"/>
  <c r="N209" i="1" s="1"/>
  <c r="P209" i="1"/>
  <c r="L209" i="1" s="1"/>
  <c r="Q209" i="1"/>
  <c r="R209" i="1"/>
  <c r="S209" i="1"/>
  <c r="T209" i="1"/>
  <c r="M210" i="1"/>
  <c r="N210" i="1"/>
  <c r="O210" i="1"/>
  <c r="P210" i="1"/>
  <c r="Q210" i="1"/>
  <c r="S210" i="1"/>
  <c r="T210" i="1"/>
  <c r="R210" i="1" s="1"/>
  <c r="L210" i="1" s="1"/>
  <c r="M211" i="1"/>
  <c r="N211" i="1"/>
  <c r="O211" i="1"/>
  <c r="P211" i="1"/>
  <c r="Q211" i="1"/>
  <c r="S211" i="1"/>
  <c r="T211" i="1"/>
  <c r="O212" i="1"/>
  <c r="M212" i="1" s="1"/>
  <c r="P212" i="1"/>
  <c r="Q212" i="1"/>
  <c r="L212" i="1" s="1"/>
  <c r="R212" i="1"/>
  <c r="S212" i="1"/>
  <c r="T212" i="1"/>
  <c r="N213" i="1"/>
  <c r="L213" i="1" s="1"/>
  <c r="O213" i="1"/>
  <c r="M213" i="1" s="1"/>
  <c r="P213" i="1"/>
  <c r="Q213" i="1"/>
  <c r="R213" i="1"/>
  <c r="S213" i="1"/>
  <c r="T213" i="1"/>
  <c r="M214" i="1"/>
  <c r="N214" i="1"/>
  <c r="O214" i="1"/>
  <c r="P214" i="1"/>
  <c r="Q214" i="1"/>
  <c r="S214" i="1"/>
  <c r="R214" i="1" s="1"/>
  <c r="L214" i="1" s="1"/>
  <c r="T214" i="1"/>
  <c r="M215" i="1"/>
  <c r="O215" i="1"/>
  <c r="N215" i="1" s="1"/>
  <c r="P215" i="1"/>
  <c r="Q215" i="1"/>
  <c r="L215" i="1" s="1"/>
  <c r="S215" i="1"/>
  <c r="R215" i="1" s="1"/>
  <c r="T215" i="1"/>
  <c r="M216" i="1"/>
  <c r="N216" i="1"/>
  <c r="O216" i="1"/>
  <c r="P216" i="1"/>
  <c r="Q216" i="1"/>
  <c r="S216" i="1"/>
  <c r="T216" i="1"/>
  <c r="O217" i="1"/>
  <c r="M217" i="1" s="1"/>
  <c r="P217" i="1"/>
  <c r="Q217" i="1"/>
  <c r="R217" i="1"/>
  <c r="S217" i="1"/>
  <c r="T217" i="1"/>
  <c r="O218" i="1"/>
  <c r="P218" i="1"/>
  <c r="Q218" i="1"/>
  <c r="L218" i="1" s="1"/>
  <c r="S218" i="1"/>
  <c r="T218" i="1"/>
  <c r="R218" i="1" s="1"/>
  <c r="O219" i="1"/>
  <c r="N219" i="1" s="1"/>
  <c r="P219" i="1"/>
  <c r="Q219" i="1"/>
  <c r="S219" i="1"/>
  <c r="R219" i="1" s="1"/>
  <c r="L219" i="1" s="1"/>
  <c r="T219" i="1"/>
  <c r="O220" i="1"/>
  <c r="N220" i="1" s="1"/>
  <c r="P220" i="1"/>
  <c r="Q220" i="1"/>
  <c r="S220" i="1"/>
  <c r="T220" i="1"/>
  <c r="R220" i="1" s="1"/>
  <c r="N221" i="1"/>
  <c r="O221" i="1"/>
  <c r="M221" i="1" s="1"/>
  <c r="P221" i="1"/>
  <c r="Q221" i="1"/>
  <c r="S221" i="1"/>
  <c r="T221" i="1"/>
  <c r="M222" i="1"/>
  <c r="N222" i="1"/>
  <c r="O222" i="1"/>
  <c r="P222" i="1"/>
  <c r="Q222" i="1"/>
  <c r="R222" i="1"/>
  <c r="S222" i="1"/>
  <c r="T222" i="1"/>
  <c r="N223" i="1"/>
  <c r="O223" i="1"/>
  <c r="M223" i="1" s="1"/>
  <c r="P223" i="1"/>
  <c r="Q223" i="1"/>
  <c r="S223" i="1"/>
  <c r="T223" i="1"/>
  <c r="R223" i="1" s="1"/>
  <c r="L223" i="1" s="1"/>
  <c r="O224" i="1"/>
  <c r="M224" i="1" s="1"/>
  <c r="P224" i="1"/>
  <c r="Q224" i="1"/>
  <c r="S224" i="1"/>
  <c r="T224" i="1"/>
  <c r="R224" i="1" s="1"/>
  <c r="L224" i="1" s="1"/>
  <c r="M225" i="1"/>
  <c r="O225" i="1"/>
  <c r="N225" i="1" s="1"/>
  <c r="P225" i="1"/>
  <c r="Q225" i="1"/>
  <c r="S225" i="1"/>
  <c r="R225" i="1" s="1"/>
  <c r="L225" i="1" s="1"/>
  <c r="T225" i="1"/>
  <c r="M226" i="1"/>
  <c r="N226" i="1"/>
  <c r="O226" i="1"/>
  <c r="P226" i="1"/>
  <c r="Q226" i="1"/>
  <c r="S226" i="1"/>
  <c r="R226" i="1" s="1"/>
  <c r="T226" i="1"/>
  <c r="M227" i="1"/>
  <c r="N227" i="1"/>
  <c r="O227" i="1"/>
  <c r="P227" i="1"/>
  <c r="Q227" i="1"/>
  <c r="S227" i="1"/>
  <c r="T227" i="1"/>
  <c r="O228" i="1"/>
  <c r="M228" i="1" s="1"/>
  <c r="P228" i="1"/>
  <c r="Q228" i="1"/>
  <c r="L228" i="1" s="1"/>
  <c r="R228" i="1"/>
  <c r="S228" i="1"/>
  <c r="T228" i="1"/>
  <c r="N229" i="1"/>
  <c r="O229" i="1"/>
  <c r="M229" i="1" s="1"/>
  <c r="P229" i="1"/>
  <c r="Q229" i="1"/>
  <c r="S229" i="1"/>
  <c r="R229" i="1" s="1"/>
  <c r="T229" i="1"/>
  <c r="O230" i="1"/>
  <c r="M230" i="1" s="1"/>
  <c r="P230" i="1"/>
  <c r="Q230" i="1"/>
  <c r="S230" i="1"/>
  <c r="R230" i="1" s="1"/>
  <c r="L230" i="1" s="1"/>
  <c r="T230" i="1"/>
  <c r="M231" i="1"/>
  <c r="O231" i="1"/>
  <c r="N231" i="1" s="1"/>
  <c r="P231" i="1"/>
  <c r="Q231" i="1"/>
  <c r="S231" i="1"/>
  <c r="T231" i="1"/>
  <c r="L232" i="1"/>
  <c r="M232" i="1"/>
  <c r="N232" i="1"/>
  <c r="O232" i="1"/>
  <c r="P232" i="1"/>
  <c r="Q232" i="1"/>
  <c r="S232" i="1"/>
  <c r="R232" i="1" s="1"/>
  <c r="T232" i="1"/>
  <c r="N233" i="1"/>
  <c r="O233" i="1"/>
  <c r="M233" i="1" s="1"/>
  <c r="P233" i="1"/>
  <c r="Q233" i="1"/>
  <c r="S233" i="1"/>
  <c r="R233" i="1" s="1"/>
  <c r="T233" i="1"/>
  <c r="O234" i="1"/>
  <c r="P234" i="1"/>
  <c r="Q234" i="1"/>
  <c r="L234" i="1" s="1"/>
  <c r="S234" i="1"/>
  <c r="R234" i="1" s="1"/>
  <c r="T234" i="1"/>
  <c r="N235" i="1"/>
  <c r="O235" i="1"/>
  <c r="M235" i="1" s="1"/>
  <c r="P235" i="1"/>
  <c r="Q235" i="1"/>
  <c r="S235" i="1"/>
  <c r="R235" i="1" s="1"/>
  <c r="T235" i="1"/>
  <c r="M236" i="1"/>
  <c r="O236" i="1"/>
  <c r="N236" i="1" s="1"/>
  <c r="P236" i="1"/>
  <c r="Q236" i="1"/>
  <c r="S236" i="1"/>
  <c r="R236" i="1" s="1"/>
  <c r="T236" i="1"/>
  <c r="N237" i="1"/>
  <c r="O237" i="1"/>
  <c r="M237" i="1" s="1"/>
  <c r="P237" i="1"/>
  <c r="Q237" i="1"/>
  <c r="S237" i="1"/>
  <c r="T237" i="1"/>
  <c r="M238" i="1"/>
  <c r="N238" i="1"/>
  <c r="O238" i="1"/>
  <c r="P238" i="1"/>
  <c r="Q238" i="1"/>
  <c r="S238" i="1"/>
  <c r="R238" i="1" s="1"/>
  <c r="T238" i="1"/>
  <c r="N239" i="1"/>
  <c r="O239" i="1"/>
  <c r="M239" i="1" s="1"/>
  <c r="P239" i="1"/>
  <c r="Q239" i="1"/>
  <c r="S239" i="1"/>
  <c r="T239" i="1"/>
  <c r="R239" i="1" s="1"/>
  <c r="L239" i="1" s="1"/>
  <c r="O240" i="1"/>
  <c r="M240" i="1" s="1"/>
  <c r="P240" i="1"/>
  <c r="Q240" i="1"/>
  <c r="S240" i="1"/>
  <c r="R240" i="1" s="1"/>
  <c r="T240" i="1"/>
  <c r="M241" i="1"/>
  <c r="O241" i="1"/>
  <c r="N241" i="1" s="1"/>
  <c r="P241" i="1"/>
  <c r="Q241" i="1"/>
  <c r="S241" i="1"/>
  <c r="R241" i="1" s="1"/>
  <c r="L241" i="1" s="1"/>
  <c r="T241" i="1"/>
  <c r="O242" i="1"/>
  <c r="M242" i="1" s="1"/>
  <c r="P242" i="1"/>
  <c r="Q242" i="1"/>
  <c r="S242" i="1"/>
  <c r="R242" i="1" s="1"/>
  <c r="T242" i="1"/>
  <c r="M243" i="1"/>
  <c r="N243" i="1"/>
  <c r="O243" i="1"/>
  <c r="P243" i="1"/>
  <c r="Q243" i="1"/>
  <c r="R243" i="1"/>
  <c r="S243" i="1"/>
  <c r="T243" i="1"/>
  <c r="O244" i="1"/>
  <c r="M244" i="1" s="1"/>
  <c r="P244" i="1"/>
  <c r="Q244" i="1"/>
  <c r="L244" i="1" s="1"/>
  <c r="R244" i="1"/>
  <c r="S244" i="1"/>
  <c r="T244" i="1"/>
  <c r="N245" i="1"/>
  <c r="O245" i="1"/>
  <c r="M245" i="1" s="1"/>
  <c r="P245" i="1"/>
  <c r="Q245" i="1"/>
  <c r="S245" i="1"/>
  <c r="T245" i="1"/>
  <c r="R245" i="1" s="1"/>
  <c r="M246" i="1"/>
  <c r="N246" i="1"/>
  <c r="O246" i="1"/>
  <c r="P246" i="1"/>
  <c r="Q246" i="1"/>
  <c r="S246" i="1"/>
  <c r="R246" i="1" s="1"/>
  <c r="L246" i="1" s="1"/>
  <c r="T246" i="1"/>
  <c r="M247" i="1"/>
  <c r="O247" i="1"/>
  <c r="N247" i="1" s="1"/>
  <c r="P247" i="1"/>
  <c r="Q247" i="1"/>
  <c r="S247" i="1"/>
  <c r="R247" i="1" s="1"/>
  <c r="L247" i="1" s="1"/>
  <c r="T247" i="1"/>
  <c r="M248" i="1"/>
  <c r="N248" i="1"/>
  <c r="O248" i="1"/>
  <c r="P248" i="1"/>
  <c r="Q248" i="1"/>
  <c r="S248" i="1"/>
  <c r="T248" i="1"/>
  <c r="O249" i="1"/>
  <c r="M249" i="1" s="1"/>
  <c r="P249" i="1"/>
  <c r="Q249" i="1"/>
  <c r="S249" i="1"/>
  <c r="R249" i="1" s="1"/>
  <c r="L249" i="1" s="1"/>
  <c r="T249" i="1"/>
  <c r="O250" i="1"/>
  <c r="P250" i="1"/>
  <c r="Q250" i="1"/>
  <c r="S250" i="1"/>
  <c r="T250" i="1"/>
  <c r="R250" i="1" s="1"/>
  <c r="O251" i="1"/>
  <c r="M251" i="1" s="1"/>
  <c r="P251" i="1"/>
  <c r="Q251" i="1"/>
  <c r="S251" i="1"/>
  <c r="R251" i="1" s="1"/>
  <c r="L251" i="1" s="1"/>
  <c r="T251" i="1"/>
  <c r="M252" i="1"/>
  <c r="O252" i="1"/>
  <c r="N252" i="1" s="1"/>
  <c r="P252" i="1"/>
  <c r="Q252" i="1"/>
  <c r="S252" i="1"/>
  <c r="T252" i="1"/>
  <c r="R252" i="1" s="1"/>
  <c r="O253" i="1"/>
  <c r="M253" i="1" s="1"/>
  <c r="P253" i="1"/>
  <c r="Q253" i="1"/>
  <c r="S253" i="1"/>
  <c r="T253" i="1"/>
  <c r="M254" i="1"/>
  <c r="N254" i="1"/>
  <c r="O254" i="1"/>
  <c r="P254" i="1"/>
  <c r="Q254" i="1"/>
  <c r="S254" i="1"/>
  <c r="T254" i="1"/>
  <c r="R254" i="1" s="1"/>
  <c r="O255" i="1"/>
  <c r="M255" i="1" s="1"/>
  <c r="P255" i="1"/>
  <c r="Q255" i="1"/>
  <c r="S255" i="1"/>
  <c r="T255" i="1"/>
  <c r="R255" i="1" s="1"/>
  <c r="L255" i="1" s="1"/>
  <c r="O256" i="1"/>
  <c r="N256" i="1" s="1"/>
  <c r="P256" i="1"/>
  <c r="Q256" i="1"/>
  <c r="S256" i="1"/>
  <c r="R256" i="1" s="1"/>
  <c r="L256" i="1" s="1"/>
  <c r="T256" i="1"/>
  <c r="M257" i="1"/>
  <c r="O257" i="1"/>
  <c r="N257" i="1" s="1"/>
  <c r="P257" i="1"/>
  <c r="Q257" i="1"/>
  <c r="S257" i="1"/>
  <c r="R257" i="1" s="1"/>
  <c r="L257" i="1" s="1"/>
  <c r="T257" i="1"/>
  <c r="O258" i="1"/>
  <c r="N258" i="1" s="1"/>
  <c r="P258" i="1"/>
  <c r="Q258" i="1"/>
  <c r="L258" i="1" s="1"/>
  <c r="R258" i="1"/>
  <c r="S258" i="1"/>
  <c r="T258" i="1"/>
  <c r="M259" i="1"/>
  <c r="N259" i="1"/>
  <c r="O259" i="1"/>
  <c r="P259" i="1"/>
  <c r="Q259" i="1"/>
  <c r="S259" i="1"/>
  <c r="R259" i="1" s="1"/>
  <c r="T259" i="1"/>
  <c r="M260" i="1"/>
  <c r="N260" i="1"/>
  <c r="O260" i="1"/>
  <c r="P260" i="1"/>
  <c r="Q260" i="1"/>
  <c r="S260" i="1"/>
  <c r="T260" i="1"/>
  <c r="R260" i="1" s="1"/>
  <c r="O261" i="1"/>
  <c r="M261" i="1" s="1"/>
  <c r="P261" i="1"/>
  <c r="Q261" i="1"/>
  <c r="S261" i="1"/>
  <c r="T261" i="1"/>
  <c r="R261" i="1" s="1"/>
  <c r="O262" i="1"/>
  <c r="M262" i="1" s="1"/>
  <c r="P262" i="1"/>
  <c r="Q262" i="1"/>
  <c r="S262" i="1"/>
  <c r="R262" i="1" s="1"/>
  <c r="L262" i="1" s="1"/>
  <c r="T262" i="1"/>
  <c r="O263" i="1"/>
  <c r="M263" i="1" s="1"/>
  <c r="P263" i="1"/>
  <c r="Q263" i="1"/>
  <c r="S263" i="1"/>
  <c r="R263" i="1" s="1"/>
  <c r="T263" i="1"/>
  <c r="M264" i="1"/>
  <c r="N264" i="1"/>
  <c r="O264" i="1"/>
  <c r="P264" i="1"/>
  <c r="Q264" i="1"/>
  <c r="L264" i="1" s="1"/>
  <c r="S264" i="1"/>
  <c r="R264" i="1" s="1"/>
  <c r="T264" i="1"/>
  <c r="O265" i="1"/>
  <c r="M265" i="1" s="1"/>
  <c r="P265" i="1"/>
  <c r="Q265" i="1"/>
  <c r="L265" i="1" s="1"/>
  <c r="S265" i="1"/>
  <c r="R265" i="1" s="1"/>
  <c r="T265" i="1"/>
  <c r="N266" i="1"/>
  <c r="O266" i="1"/>
  <c r="M266" i="1" s="1"/>
  <c r="P266" i="1"/>
  <c r="Q266" i="1"/>
  <c r="L266" i="1" s="1"/>
  <c r="S266" i="1"/>
  <c r="T266" i="1"/>
  <c r="R266" i="1" s="1"/>
  <c r="M267" i="1"/>
  <c r="N267" i="1"/>
  <c r="O267" i="1"/>
  <c r="P267" i="1"/>
  <c r="Q267" i="1"/>
  <c r="L267" i="1" s="1"/>
  <c r="R267" i="1"/>
  <c r="S267" i="1"/>
  <c r="T267" i="1"/>
  <c r="O268" i="1"/>
  <c r="N268" i="1" s="1"/>
  <c r="P268" i="1"/>
  <c r="Q268" i="1"/>
  <c r="S268" i="1"/>
  <c r="R268" i="1" s="1"/>
  <c r="L268" i="1" s="1"/>
  <c r="T268" i="1"/>
  <c r="O269" i="1"/>
  <c r="M269" i="1" s="1"/>
  <c r="P269" i="1"/>
  <c r="Q269" i="1"/>
  <c r="S269" i="1"/>
  <c r="T269" i="1"/>
  <c r="O270" i="1"/>
  <c r="M270" i="1" s="1"/>
  <c r="P270" i="1"/>
  <c r="Q270" i="1"/>
  <c r="S270" i="1"/>
  <c r="R270" i="1" s="1"/>
  <c r="T270" i="1"/>
  <c r="O271" i="1"/>
  <c r="M271" i="1" s="1"/>
  <c r="P271" i="1"/>
  <c r="Q271" i="1"/>
  <c r="S271" i="1"/>
  <c r="T271" i="1"/>
  <c r="R271" i="1" s="1"/>
  <c r="M272" i="1"/>
  <c r="N272" i="1"/>
  <c r="O272" i="1"/>
  <c r="P272" i="1"/>
  <c r="Q272" i="1"/>
  <c r="S272" i="1"/>
  <c r="R272" i="1" s="1"/>
  <c r="L272" i="1" s="1"/>
  <c r="T272" i="1"/>
  <c r="O273" i="1"/>
  <c r="N273" i="1" s="1"/>
  <c r="L273" i="1" s="1"/>
  <c r="P273" i="1"/>
  <c r="Q273" i="1"/>
  <c r="S273" i="1"/>
  <c r="R273" i="1" s="1"/>
  <c r="T273" i="1"/>
  <c r="M274" i="1"/>
  <c r="N274" i="1"/>
  <c r="O274" i="1"/>
  <c r="P274" i="1"/>
  <c r="Q274" i="1"/>
  <c r="S274" i="1"/>
  <c r="R274" i="1" s="1"/>
  <c r="L274" i="1" s="1"/>
  <c r="T274" i="1"/>
  <c r="M275" i="1"/>
  <c r="N275" i="1"/>
  <c r="O275" i="1"/>
  <c r="P275" i="1"/>
  <c r="Q275" i="1"/>
  <c r="S275" i="1"/>
  <c r="T275" i="1"/>
  <c r="R275" i="1" s="1"/>
  <c r="O276" i="1"/>
  <c r="M276" i="1" s="1"/>
  <c r="P276" i="1"/>
  <c r="Q276" i="1"/>
  <c r="S276" i="1"/>
  <c r="T276" i="1"/>
  <c r="R276" i="1" s="1"/>
  <c r="L276" i="1" s="1"/>
  <c r="N277" i="1"/>
  <c r="O277" i="1"/>
  <c r="M277" i="1" s="1"/>
  <c r="P277" i="1"/>
  <c r="Q277" i="1"/>
  <c r="L277" i="1" s="1"/>
  <c r="S277" i="1"/>
  <c r="R277" i="1" s="1"/>
  <c r="T277" i="1"/>
  <c r="O278" i="1"/>
  <c r="M278" i="1" s="1"/>
  <c r="P278" i="1"/>
  <c r="Q278" i="1"/>
  <c r="S278" i="1"/>
  <c r="R278" i="1" s="1"/>
  <c r="L278" i="1" s="1"/>
  <c r="T278" i="1"/>
  <c r="O279" i="1"/>
  <c r="M279" i="1" s="1"/>
  <c r="P279" i="1"/>
  <c r="Q279" i="1"/>
  <c r="L279" i="1" s="1"/>
  <c r="R279" i="1"/>
  <c r="S279" i="1"/>
  <c r="T279" i="1"/>
  <c r="M280" i="1"/>
  <c r="N280" i="1"/>
  <c r="O280" i="1"/>
  <c r="P280" i="1"/>
  <c r="Q280" i="1"/>
  <c r="S280" i="1"/>
  <c r="T280" i="1"/>
  <c r="M281" i="1"/>
  <c r="N281" i="1"/>
  <c r="L281" i="1" s="1"/>
  <c r="O281" i="1"/>
  <c r="P281" i="1"/>
  <c r="Q281" i="1"/>
  <c r="S281" i="1"/>
  <c r="T281" i="1"/>
  <c r="R281" i="1" s="1"/>
  <c r="O282" i="1"/>
  <c r="M282" i="1" s="1"/>
  <c r="P282" i="1"/>
  <c r="Q282" i="1"/>
  <c r="S282" i="1"/>
  <c r="R282" i="1" s="1"/>
  <c r="T282" i="1"/>
  <c r="O283" i="1"/>
  <c r="M283" i="1" s="1"/>
  <c r="P283" i="1"/>
  <c r="Q283" i="1"/>
  <c r="S283" i="1"/>
  <c r="R283" i="1" s="1"/>
  <c r="T283" i="1"/>
  <c r="M284" i="1"/>
  <c r="O284" i="1"/>
  <c r="N284" i="1" s="1"/>
  <c r="P284" i="1"/>
  <c r="Q284" i="1"/>
  <c r="S284" i="1"/>
  <c r="T284" i="1"/>
  <c r="R284" i="1" s="1"/>
  <c r="L300" i="1" l="1"/>
  <c r="L298" i="1"/>
  <c r="L307" i="1"/>
  <c r="L285" i="1"/>
  <c r="L289" i="1"/>
  <c r="L291" i="1"/>
  <c r="L296" i="1"/>
  <c r="M295" i="1"/>
  <c r="M300" i="1"/>
  <c r="M307" i="1"/>
  <c r="M291" i="1"/>
  <c r="N304" i="1"/>
  <c r="N302" i="1"/>
  <c r="N293" i="1"/>
  <c r="M298" i="1"/>
  <c r="M305" i="1"/>
  <c r="N296" i="1"/>
  <c r="M289" i="1"/>
  <c r="M286" i="1"/>
  <c r="L286" i="1" s="1"/>
  <c r="N294" i="1"/>
  <c r="N288" i="1"/>
  <c r="N285" i="1"/>
  <c r="L233" i="1"/>
  <c r="L282" i="1"/>
  <c r="L260" i="1"/>
  <c r="L263" i="1"/>
  <c r="L235" i="1"/>
  <c r="L75" i="1"/>
  <c r="L168" i="1"/>
  <c r="L271" i="1"/>
  <c r="L229" i="1"/>
  <c r="L284" i="1"/>
  <c r="L248" i="1"/>
  <c r="L261" i="1"/>
  <c r="L250" i="1"/>
  <c r="L240" i="1"/>
  <c r="L245" i="1"/>
  <c r="L242" i="1"/>
  <c r="L226" i="1"/>
  <c r="N255" i="1"/>
  <c r="N251" i="1"/>
  <c r="N249" i="1"/>
  <c r="R227" i="1"/>
  <c r="L227" i="1" s="1"/>
  <c r="L217" i="1"/>
  <c r="R188" i="1"/>
  <c r="L188" i="1" s="1"/>
  <c r="N180" i="1"/>
  <c r="L164" i="1"/>
  <c r="R141" i="1"/>
  <c r="L141" i="1" s="1"/>
  <c r="M139" i="1"/>
  <c r="N139" i="1"/>
  <c r="N118" i="1"/>
  <c r="M109" i="1"/>
  <c r="L99" i="1"/>
  <c r="M59" i="1"/>
  <c r="N59" i="1"/>
  <c r="N253" i="1"/>
  <c r="L243" i="1"/>
  <c r="N201" i="1"/>
  <c r="N169" i="1"/>
  <c r="N283" i="1"/>
  <c r="L283" i="1" s="1"/>
  <c r="N270" i="1"/>
  <c r="M268" i="1"/>
  <c r="R237" i="1"/>
  <c r="L237" i="1" s="1"/>
  <c r="R231" i="1"/>
  <c r="L231" i="1" s="1"/>
  <c r="R221" i="1"/>
  <c r="M203" i="1"/>
  <c r="R173" i="1"/>
  <c r="L173" i="1" s="1"/>
  <c r="R157" i="1"/>
  <c r="M155" i="1"/>
  <c r="N155" i="1"/>
  <c r="L155" i="1" s="1"/>
  <c r="R152" i="1"/>
  <c r="L152" i="1" s="1"/>
  <c r="R115" i="1"/>
  <c r="L115" i="1" s="1"/>
  <c r="M90" i="1"/>
  <c r="N90" i="1"/>
  <c r="L85" i="1"/>
  <c r="N54" i="1"/>
  <c r="N47" i="1"/>
  <c r="M13" i="1"/>
  <c r="M171" i="1"/>
  <c r="R168" i="1"/>
  <c r="N134" i="1"/>
  <c r="M125" i="1"/>
  <c r="L68" i="1"/>
  <c r="L61" i="1"/>
  <c r="L51" i="1"/>
  <c r="L27" i="1"/>
  <c r="N22" i="1"/>
  <c r="L7" i="1"/>
  <c r="N279" i="1"/>
  <c r="R200" i="1"/>
  <c r="L200" i="1" s="1"/>
  <c r="M106" i="1"/>
  <c r="N106" i="1"/>
  <c r="N217" i="1"/>
  <c r="L190" i="1"/>
  <c r="R179" i="1"/>
  <c r="R269" i="1"/>
  <c r="L269" i="1" s="1"/>
  <c r="N262" i="1"/>
  <c r="R248" i="1"/>
  <c r="M219" i="1"/>
  <c r="M188" i="1"/>
  <c r="R183" i="1"/>
  <c r="L183" i="1" s="1"/>
  <c r="L179" i="1"/>
  <c r="N166" i="1"/>
  <c r="L166" i="1" s="1"/>
  <c r="R147" i="1"/>
  <c r="L147" i="1" s="1"/>
  <c r="M141" i="1"/>
  <c r="L131" i="1"/>
  <c r="N127" i="1"/>
  <c r="L94" i="1"/>
  <c r="R89" i="1"/>
  <c r="L41" i="1"/>
  <c r="L34" i="1"/>
  <c r="M27" i="1"/>
  <c r="N27" i="1"/>
  <c r="L19" i="1"/>
  <c r="L12" i="1"/>
  <c r="L9" i="1"/>
  <c r="M122" i="1"/>
  <c r="N122" i="1"/>
  <c r="L89" i="1"/>
  <c r="L82" i="1"/>
  <c r="M75" i="1"/>
  <c r="N75" i="1"/>
  <c r="L46" i="1"/>
  <c r="R216" i="1"/>
  <c r="L216" i="1" s="1"/>
  <c r="N198" i="1"/>
  <c r="L163" i="1"/>
  <c r="L110" i="1"/>
  <c r="R105" i="1"/>
  <c r="M80" i="1"/>
  <c r="N80" i="1"/>
  <c r="L36" i="1"/>
  <c r="L29" i="1"/>
  <c r="L4" i="1"/>
  <c r="L252" i="1"/>
  <c r="M258" i="1"/>
  <c r="L204" i="1"/>
  <c r="L156" i="1"/>
  <c r="L14" i="1"/>
  <c r="M160" i="1"/>
  <c r="N160" i="1"/>
  <c r="L185" i="1"/>
  <c r="M138" i="1"/>
  <c r="N138" i="1"/>
  <c r="L105" i="1"/>
  <c r="N271" i="1"/>
  <c r="N269" i="1"/>
  <c r="M256" i="1"/>
  <c r="M250" i="1"/>
  <c r="N250" i="1"/>
  <c r="L206" i="1"/>
  <c r="M202" i="1"/>
  <c r="N202" i="1"/>
  <c r="N181" i="1"/>
  <c r="M154" i="1"/>
  <c r="N154" i="1"/>
  <c r="L126" i="1"/>
  <c r="R121" i="1"/>
  <c r="L98" i="1"/>
  <c r="L67" i="1"/>
  <c r="L43" i="1"/>
  <c r="M96" i="1"/>
  <c r="N96" i="1"/>
  <c r="L275" i="1"/>
  <c r="L254" i="1"/>
  <c r="M273" i="1"/>
  <c r="N244" i="1"/>
  <c r="L220" i="1"/>
  <c r="N212" i="1"/>
  <c r="N208" i="1"/>
  <c r="M204" i="1"/>
  <c r="R195" i="1"/>
  <c r="L195" i="1" s="1"/>
  <c r="L189" i="1"/>
  <c r="N185" i="1"/>
  <c r="L151" i="1"/>
  <c r="M149" i="1"/>
  <c r="N149" i="1"/>
  <c r="R137" i="1"/>
  <c r="L114" i="1"/>
  <c r="L100" i="1"/>
  <c r="R93" i="1"/>
  <c r="L93" i="1" s="1"/>
  <c r="M91" i="1"/>
  <c r="N91" i="1"/>
  <c r="M77" i="1"/>
  <c r="L57" i="1"/>
  <c r="L50" i="1"/>
  <c r="M43" i="1"/>
  <c r="N43" i="1"/>
  <c r="L11" i="1"/>
  <c r="N6" i="1"/>
  <c r="L221" i="1"/>
  <c r="R280" i="1"/>
  <c r="L280" i="1" s="1"/>
  <c r="N282" i="1"/>
  <c r="N263" i="1"/>
  <c r="L236" i="1"/>
  <c r="M218" i="1"/>
  <c r="N218" i="1"/>
  <c r="M165" i="1"/>
  <c r="N165" i="1"/>
  <c r="L158" i="1"/>
  <c r="L137" i="1"/>
  <c r="M112" i="1"/>
  <c r="N112" i="1"/>
  <c r="L112" i="1" s="1"/>
  <c r="L62" i="1"/>
  <c r="L18" i="1"/>
  <c r="L16" i="1"/>
  <c r="M186" i="1"/>
  <c r="N186" i="1"/>
  <c r="L121" i="1"/>
  <c r="N265" i="1"/>
  <c r="N242" i="1"/>
  <c r="R253" i="1"/>
  <c r="L253" i="1" s="1"/>
  <c r="N230" i="1"/>
  <c r="R184" i="1"/>
  <c r="L184" i="1" s="1"/>
  <c r="L178" i="1"/>
  <c r="R169" i="1"/>
  <c r="L169" i="1" s="1"/>
  <c r="L153" i="1"/>
  <c r="L130" i="1"/>
  <c r="L116" i="1"/>
  <c r="R109" i="1"/>
  <c r="M107" i="1"/>
  <c r="N107" i="1"/>
  <c r="N86" i="1"/>
  <c r="R83" i="1"/>
  <c r="L83" i="1" s="1"/>
  <c r="N79" i="1"/>
  <c r="L79" i="1" s="1"/>
  <c r="L69" i="1"/>
  <c r="L52" i="1"/>
  <c r="L45" i="1"/>
  <c r="L35" i="1"/>
  <c r="L28" i="1"/>
  <c r="L25" i="1"/>
  <c r="M11" i="1"/>
  <c r="N11" i="1"/>
  <c r="L222" i="1"/>
  <c r="N278" i="1"/>
  <c r="N240" i="1"/>
  <c r="N276" i="1"/>
  <c r="N261" i="1"/>
  <c r="M234" i="1"/>
  <c r="N234" i="1"/>
  <c r="N228" i="1"/>
  <c r="N224" i="1"/>
  <c r="M220" i="1"/>
  <c r="R211" i="1"/>
  <c r="L201" i="1"/>
  <c r="N191" i="1"/>
  <c r="N189" i="1"/>
  <c r="L146" i="1"/>
  <c r="M128" i="1"/>
  <c r="N128" i="1"/>
  <c r="L109" i="1"/>
  <c r="L71" i="1"/>
  <c r="M192" i="1"/>
  <c r="N192" i="1"/>
  <c r="M170" i="1"/>
  <c r="N170" i="1"/>
  <c r="L259" i="1"/>
  <c r="L238" i="1"/>
  <c r="L270" i="1"/>
  <c r="L211" i="1"/>
  <c r="M176" i="1"/>
  <c r="N176" i="1"/>
  <c r="L162" i="1"/>
  <c r="M144" i="1"/>
  <c r="N144" i="1"/>
  <c r="L132" i="1"/>
  <c r="M123" i="1"/>
  <c r="N123" i="1"/>
  <c r="M93" i="1"/>
  <c r="L59" i="1"/>
  <c r="L20" i="1"/>
  <c r="L13" i="1"/>
  <c r="N64" i="1"/>
  <c r="N48" i="1"/>
  <c r="N32" i="1"/>
  <c r="N16" i="1"/>
  <c r="N23" i="1"/>
  <c r="N7" i="1"/>
  <c r="N133" i="1"/>
  <c r="L133" i="1" s="1"/>
  <c r="N117" i="1"/>
  <c r="N101" i="1"/>
  <c r="N85" i="1"/>
  <c r="N69" i="1"/>
  <c r="N53" i="1"/>
  <c r="N37" i="1"/>
  <c r="N76" i="1"/>
  <c r="N60" i="1"/>
  <c r="N44" i="1"/>
  <c r="L44" i="1" s="1"/>
  <c r="N28" i="1"/>
  <c r="N12" i="1"/>
  <c r="N3" i="1"/>
  <c r="L3" i="1" s="1"/>
  <c r="N74" i="1"/>
  <c r="N58" i="1"/>
  <c r="N42" i="1"/>
  <c r="N26" i="1"/>
  <c r="N10" i="1"/>
  <c r="O2" i="1"/>
  <c r="M2" i="1" s="1"/>
  <c r="L2" i="1" s="1"/>
  <c r="T2" i="1"/>
  <c r="S2" i="1"/>
  <c r="Q2" i="1"/>
  <c r="P2" i="1"/>
  <c r="N2" i="1" l="1"/>
  <c r="R2" i="1"/>
</calcChain>
</file>

<file path=xl/sharedStrings.xml><?xml version="1.0" encoding="utf-8"?>
<sst xmlns="http://schemas.openxmlformats.org/spreadsheetml/2006/main" count="324" uniqueCount="282">
  <si>
    <t>Item:</t>
  </si>
  <si>
    <t>Item ID</t>
  </si>
  <si>
    <t>Count</t>
  </si>
  <si>
    <t>Lua:</t>
  </si>
  <si>
    <t>Cost:</t>
  </si>
  <si>
    <t>Item Count:</t>
  </si>
  <si>
    <t>Dyes</t>
  </si>
  <si>
    <t>GENERIC_MITHRIL</t>
  </si>
  <si>
    <t>festival tokens</t>
  </si>
  <si>
    <t>Assortment of Dwarf-candles</t>
  </si>
  <si>
    <t>mithril</t>
  </si>
  <si>
    <t>Duplicates?</t>
  </si>
  <si>
    <t>Divider 2</t>
  </si>
  <si>
    <t>Divider 1</t>
  </si>
  <si>
    <t>Cosmetic Pets</t>
  </si>
  <si>
    <t>DIVIDER_HEIGHT</t>
  </si>
  <si>
    <t>Divider Height</t>
  </si>
  <si>
    <t>Rosa Hornblower, Fall Festival Trader</t>
  </si>
  <si>
    <t>HARVESTMATH_FESTIVAL</t>
  </si>
  <si>
    <t>Cobweb Garments - Gift-wrapped Selection Box</t>
  </si>
  <si>
    <t>Cobweb Robe</t>
  </si>
  <si>
    <t>Cobweb Hat</t>
  </si>
  <si>
    <t>Cobweb Cloak</t>
  </si>
  <si>
    <t>Hooded Cobweb Cloak</t>
  </si>
  <si>
    <t>Harvestmath Cauldron</t>
  </si>
  <si>
    <t>Fall Hobby-broom</t>
  </si>
  <si>
    <t>Tome of the Pumpkin Huorn</t>
  </si>
  <si>
    <t>Tome of the Autumn Aurochs</t>
  </si>
  <si>
    <t>Heating Cauldron</t>
  </si>
  <si>
    <t>Small Potions Table</t>
  </si>
  <si>
    <t>Pumpkins</t>
  </si>
  <si>
    <t>'Spooky' Themes</t>
  </si>
  <si>
    <t>'Haunted House' Ambience</t>
  </si>
  <si>
    <t>'Haunted Yard' Ambience</t>
  </si>
  <si>
    <t>Webbed Thorny Hedge</t>
  </si>
  <si>
    <t>Wild Webbed Hedge</t>
  </si>
  <si>
    <t>New Items</t>
  </si>
  <si>
    <t>Fall Festival Steeds</t>
  </si>
  <si>
    <t>Elk of the Forest-spirit</t>
  </si>
  <si>
    <t>Caparison of the Autumn Sage's Bearance</t>
  </si>
  <si>
    <t>Mask of the Autumn Sage's Bearance</t>
  </si>
  <si>
    <t>Saddle of the Autumn Sage's Bearance</t>
  </si>
  <si>
    <t>Steed of the Autumn Sage</t>
  </si>
  <si>
    <t>Steed of the Autumn Traveller</t>
  </si>
  <si>
    <t>Tome of the Ghostly Cat</t>
  </si>
  <si>
    <t>Tome of the Windfell Owl</t>
  </si>
  <si>
    <t>Tome of the Forest-spirit Goat</t>
  </si>
  <si>
    <t>Tome of the Brown Bat</t>
  </si>
  <si>
    <t>Tome of the Leaf-fall Kite</t>
  </si>
  <si>
    <t>Tome of the Oaken Kite</t>
  </si>
  <si>
    <t>Tome of the Gourd-lurker</t>
  </si>
  <si>
    <t>Tome of the Black Cat</t>
  </si>
  <si>
    <t>Tome of the Badger</t>
  </si>
  <si>
    <t>Tome of the Spooky Jackdaw</t>
  </si>
  <si>
    <t>Tome of the Harbinger of the Sage's Storm</t>
  </si>
  <si>
    <t>Tome of the Soot-feathered Crow</t>
  </si>
  <si>
    <t>Tome of the Lantern Gourd-lurker</t>
  </si>
  <si>
    <t>Tome of the Black Marble Wolf-dog</t>
  </si>
  <si>
    <t>Tome of the Night Sky Craban</t>
  </si>
  <si>
    <t>6 Imladris Fallen Leaf Dyes</t>
  </si>
  <si>
    <t>6 Ashenslades Green Dyes</t>
  </si>
  <si>
    <t>6 Autumn Leaf Dyes</t>
  </si>
  <si>
    <t>6 Twilight Purple Dyes</t>
  </si>
  <si>
    <t>5 Yellow Dwarf-candles</t>
  </si>
  <si>
    <t>5 Red Dwarf-candles</t>
  </si>
  <si>
    <t>5 Green Dwarf-candles</t>
  </si>
  <si>
    <t>5 Blue Dwarf-candles</t>
  </si>
  <si>
    <t>5 Orange Dwarf-candles</t>
  </si>
  <si>
    <t>5 White Dwarf-candles</t>
  </si>
  <si>
    <t>5 Purple Dwarf-candles</t>
  </si>
  <si>
    <t>Cosmetic Clothing - Gift Boxes</t>
  </si>
  <si>
    <t>Garments of Masked Wisdom - Gift-wrapped Selection Box</t>
  </si>
  <si>
    <t>Garments of the Forest-spirit - Gift-wrapped Selection Box</t>
  </si>
  <si>
    <t>Harvestmath Garments - Gift-wrapped selection box</t>
  </si>
  <si>
    <t>Garments of the Autumn Traveller - Gift-wrapped selection box</t>
  </si>
  <si>
    <t>Autumn Leafmail Shoulders - Gift-wrapped</t>
  </si>
  <si>
    <t>Autumn Leafmail Hauberk - Gift-wrapped</t>
  </si>
  <si>
    <t>Autumn Leafmail Dress - Gift-wrapped</t>
  </si>
  <si>
    <t>Autumn Leafmail Cloak - Gift-wrapped</t>
  </si>
  <si>
    <t>Hooded Autumn Leafmail Cloak - Gift-wrapped</t>
  </si>
  <si>
    <t>Cloak of the Autumn Wanderer - Gift Wrapped</t>
  </si>
  <si>
    <t>Hooded Cloak of the Autumn Wanderer - Gift Wrapped</t>
  </si>
  <si>
    <t>Travelling Robes of the Autumn Wanderer - Gift Wrapped</t>
  </si>
  <si>
    <t>Mask of the Autumn Wanderer - Gift Wrapped</t>
  </si>
  <si>
    <t>Fall Festival Steeds - Mithril I</t>
  </si>
  <si>
    <t>Harbinger of Autumn Night</t>
  </si>
  <si>
    <t>Lamp of the Harbinger</t>
  </si>
  <si>
    <t>Harness of the Harbinger</t>
  </si>
  <si>
    <t>Faceplate of the Harbinger</t>
  </si>
  <si>
    <t>Tattered Feathers of the Harbinger</t>
  </si>
  <si>
    <t>Saddle of the Harbinger</t>
  </si>
  <si>
    <t>Steed of Eldar Autumn</t>
  </si>
  <si>
    <t>Fall Festival Steeds - Mithril II</t>
  </si>
  <si>
    <t>Caparison of Eldar Autumn</t>
  </si>
  <si>
    <t>Head-piece of Eldar Autumn</t>
  </si>
  <si>
    <t>Saddle of Eldar Autumn</t>
  </si>
  <si>
    <t>Tail of Eldar Autumn</t>
  </si>
  <si>
    <t>Steed of the Gloaming Autumn</t>
  </si>
  <si>
    <t>Caparison of the Gloaming Autumn</t>
  </si>
  <si>
    <t>Head of the Gloaming Autumn</t>
  </si>
  <si>
    <t>Leggings of the Gloaming Autumn</t>
  </si>
  <si>
    <t>Saddle of the Gloaming Autumn</t>
  </si>
  <si>
    <t>Tail of the Gloaming Autumn</t>
  </si>
  <si>
    <t>Steed of the Anórien Autumn</t>
  </si>
  <si>
    <t>Caparison of the Anórien Autumn</t>
  </si>
  <si>
    <t>Steed of the Autumn Sun</t>
  </si>
  <si>
    <t>Caparison of the Autumn Sun</t>
  </si>
  <si>
    <t>Spooky Steed of the Bat</t>
  </si>
  <si>
    <t>Spooky Caparison of the Bat</t>
  </si>
  <si>
    <t>Harvest-brew Steed</t>
  </si>
  <si>
    <t>Harvestmath Steed</t>
  </si>
  <si>
    <t>Sable Harvestmath Steed</t>
  </si>
  <si>
    <t>Autumnfest Steed</t>
  </si>
  <si>
    <t>Essences</t>
  </si>
  <si>
    <t>Essence Reclamation Scroll</t>
  </si>
  <si>
    <t>Tunics, Trousers, Dresses, and Outfits</t>
  </si>
  <si>
    <t>Robe of Masked Wisdom</t>
  </si>
  <si>
    <t>Tunic of the Forest-spirit</t>
  </si>
  <si>
    <t>Vestments of the Autumn Sage</t>
  </si>
  <si>
    <t>Tunic of the Leaf-turner</t>
  </si>
  <si>
    <t>Trousers of the Autumn Traveller</t>
  </si>
  <si>
    <t>Tunic of the Autumn Traveller</t>
  </si>
  <si>
    <t>Travelling Robes of the Autumn Wanderer</t>
  </si>
  <si>
    <t>Autumn Leafmail Hauberk</t>
  </si>
  <si>
    <t>Autumn Leafmail Dress</t>
  </si>
  <si>
    <t>Dress of the Anórien Autumn</t>
  </si>
  <si>
    <t>Robe of the Autumn Sun</t>
  </si>
  <si>
    <t>Spooky Robe of the Bat</t>
  </si>
  <si>
    <t>Harvest-brew Long-sleeved Tunic &amp; Trousers</t>
  </si>
  <si>
    <t>Harvest-brew Short-sleeved Tunic &amp; Trousers</t>
  </si>
  <si>
    <t>Harvest-brew Dress</t>
  </si>
  <si>
    <t>Tunic &amp; Trousers of Autumn Nights</t>
  </si>
  <si>
    <t>Gown of Autumn Nights</t>
  </si>
  <si>
    <t>Cosmetic Weapons and Shields</t>
  </si>
  <si>
    <t>Shield of Eldar Autumn</t>
  </si>
  <si>
    <t>Shoulder-pieces and Footwear</t>
  </si>
  <si>
    <t>Boots of Masked Wisdom</t>
  </si>
  <si>
    <t>Mantle of the Forest-spirit</t>
  </si>
  <si>
    <t>Boots of the Forest-spirit</t>
  </si>
  <si>
    <t>Cowl and Hat of the Autumn Sage</t>
  </si>
  <si>
    <t>Autumn Leafmail Shoulder-guards</t>
  </si>
  <si>
    <t>Mantle of the Gloaming Autumn</t>
  </si>
  <si>
    <t>Cloaks and Back Items</t>
  </si>
  <si>
    <t>Cloak of the Forest-spirit</t>
  </si>
  <si>
    <t>Hooded Cloak of the Forest-spirit</t>
  </si>
  <si>
    <t>Cosmetic Bee Wings</t>
  </si>
  <si>
    <t>Cosmetic Raven Wings</t>
  </si>
  <si>
    <t>Cloak of the Autumn Sage</t>
  </si>
  <si>
    <t>Hooded Cloak of the Autumn Sage</t>
  </si>
  <si>
    <t>Cloak of the Autumn Traveller</t>
  </si>
  <si>
    <t>Cloak of the Autumn Wanderer</t>
  </si>
  <si>
    <t>Hooded Cloak of the Autumn Wanderer</t>
  </si>
  <si>
    <t>Autumn Leafmail Cloak</t>
  </si>
  <si>
    <t>Hooded Autumn Leafmail Cloak</t>
  </si>
  <si>
    <t>Cloak of the Gloaming Autumn</t>
  </si>
  <si>
    <t>Pack of the Anórien Autumn</t>
  </si>
  <si>
    <t>Cloak of the Autumn Sun</t>
  </si>
  <si>
    <t>Hooded Cloak of the Autumn Sun</t>
  </si>
  <si>
    <t>Spooky Cloak of the Bat</t>
  </si>
  <si>
    <t>Spooky Hooded Cloak of the Bat</t>
  </si>
  <si>
    <t>Harvest-brew Cloak</t>
  </si>
  <si>
    <t>Harvest-brew Hooded Cloak</t>
  </si>
  <si>
    <t>Cloak of Autumn Nights</t>
  </si>
  <si>
    <t>Wrap of the Turning Leaves</t>
  </si>
  <si>
    <t>Cloak of the Falling Leaves</t>
  </si>
  <si>
    <t>Cloak of the Boar</t>
  </si>
  <si>
    <t>Cloak of the Raven</t>
  </si>
  <si>
    <t>Hats and Masks</t>
  </si>
  <si>
    <t>Wisdom's Mask</t>
  </si>
  <si>
    <t>Mask of the Forest-spirit</t>
  </si>
  <si>
    <t>Mask of the Leaf-turner</t>
  </si>
  <si>
    <t>Mask of the Autumn Wanderer</t>
  </si>
  <si>
    <t>Goblin Festival Mask</t>
  </si>
  <si>
    <t>Boar-head Festival Mask</t>
  </si>
  <si>
    <t>Raven Festival Mask</t>
  </si>
  <si>
    <t>Pipe Festival Mask</t>
  </si>
  <si>
    <t>Harvest-brew Hat</t>
  </si>
  <si>
    <t>Harvest-brew Circlet</t>
  </si>
  <si>
    <t>Handheld Cosmetics</t>
  </si>
  <si>
    <t>Beer Stein</t>
  </si>
  <si>
    <t>Basket of Apples</t>
  </si>
  <si>
    <t>Fall Gourd</t>
  </si>
  <si>
    <t>Pretzel</t>
  </si>
  <si>
    <t>Housing Items - 1</t>
  </si>
  <si>
    <t>Housing Items - 2</t>
  </si>
  <si>
    <t>Small Grove of Fiery Fall Trees</t>
  </si>
  <si>
    <t>Harvest Pumpkin Planter</t>
  </si>
  <si>
    <t>Pillar of Hay</t>
  </si>
  <si>
    <t>Loosely Packed Pillar of Hay</t>
  </si>
  <si>
    <t>Scarecrow</t>
  </si>
  <si>
    <t>Mounted Warg with Candle</t>
  </si>
  <si>
    <t>Cauldron</t>
  </si>
  <si>
    <t>Wicked Cage</t>
  </si>
  <si>
    <t>Long-burning Candlestand</t>
  </si>
  <si>
    <t>Decorative Gourds</t>
  </si>
  <si>
    <t>Potions Table</t>
  </si>
  <si>
    <t>Ceiling Bat</t>
  </si>
  <si>
    <t>Ceiling Spider</t>
  </si>
  <si>
    <t>Spooky Chair</t>
  </si>
  <si>
    <t>Ancient Beech Tree</t>
  </si>
  <si>
    <t>Barrel of Gladdens</t>
  </si>
  <si>
    <t>Chest of the Spider-queen</t>
  </si>
  <si>
    <t>Ginger Cat on a Cushion</t>
  </si>
  <si>
    <t>Whiteshirt Cat on a Cushion</t>
  </si>
  <si>
    <t>Sleeping Brown Cat</t>
  </si>
  <si>
    <t>Láthbear with Stein</t>
  </si>
  <si>
    <t>Craban Perched on Stein</t>
  </si>
  <si>
    <t>Craban Drinking from Stein</t>
  </si>
  <si>
    <t>Table with Sausage and Pretzels</t>
  </si>
  <si>
    <t>Autumnal Apple Tree</t>
  </si>
  <si>
    <t>Haunted Tree</t>
  </si>
  <si>
    <t>Wooden Beaver Statue</t>
  </si>
  <si>
    <t>Giant Pumpkin</t>
  </si>
  <si>
    <t>Harvest Statue</t>
  </si>
  <si>
    <t>Goblin Statue</t>
  </si>
  <si>
    <t>Free Peoples' Flag</t>
  </si>
  <si>
    <t>Sundial</t>
  </si>
  <si>
    <t>Autumn Welcome Mat</t>
  </si>
  <si>
    <t>Painting of a Watchful Warg</t>
  </si>
  <si>
    <t>Painting of a Watchful Goblin</t>
  </si>
  <si>
    <t>Map of Rivendell</t>
  </si>
  <si>
    <t>Map of Eregion</t>
  </si>
  <si>
    <t>Map of Enedwaith</t>
  </si>
  <si>
    <t>Map of Mirkwood</t>
  </si>
  <si>
    <t>Consumables</t>
  </si>
  <si>
    <t>5 Specimen Jars: Gross Bugs</t>
  </si>
  <si>
    <t>5 Applications of 'Coveritol'</t>
  </si>
  <si>
    <t>5 Buckets of Fear</t>
  </si>
  <si>
    <t>5 Potent Bird Seed</t>
  </si>
  <si>
    <t>5 Candles and Mirrors</t>
  </si>
  <si>
    <t>5 Black Silk Gloves</t>
  </si>
  <si>
    <t>5 Spider Legs</t>
  </si>
  <si>
    <t>Emotes</t>
  </si>
  <si>
    <t>BOO!</t>
  </si>
  <si>
    <t>Instruments</t>
  </si>
  <si>
    <t>Guide to the Cowbell</t>
  </si>
  <si>
    <t>Lonely Mountain Bassoon</t>
  </si>
  <si>
    <t>Steed of the Midnight Raven</t>
  </si>
  <si>
    <t>Accessory of the Midnight Raven</t>
  </si>
  <si>
    <t>Caparison of the Midnight Raven</t>
  </si>
  <si>
    <t>Head-piece of the Midnight Raven</t>
  </si>
  <si>
    <t>Leg-guards of the Midnight Raven</t>
  </si>
  <si>
    <t>Tome of the Midnight Raven</t>
  </si>
  <si>
    <t>Garments of the Midnight Raven - Gift-wrapped Selection Box</t>
  </si>
  <si>
    <t>War-steed Cosmetics of the Midnight Raven</t>
  </si>
  <si>
    <t>Robe of the Midnight Raven</t>
  </si>
  <si>
    <t>Boots of the Midnight Raven</t>
  </si>
  <si>
    <t>Scarf of the Midnight Raven</t>
  </si>
  <si>
    <t>Cloak of the Midnight Raven</t>
  </si>
  <si>
    <t>Hood of the Midnight Raven</t>
  </si>
  <si>
    <t>Chair of the Midnight Raven</t>
  </si>
  <si>
    <t>Table of the Midnight Raven</t>
  </si>
  <si>
    <t>Working Table of the Midnight Raven</t>
  </si>
  <si>
    <t>Small Bonepile</t>
  </si>
  <si>
    <t>Medium Bonepile</t>
  </si>
  <si>
    <t>Large Bonepile</t>
  </si>
  <si>
    <t>Dark Ritual Altar</t>
  </si>
  <si>
    <t>Blood-stained Dark Ritual Altar</t>
  </si>
  <si>
    <t>Marble Ritual Altar</t>
  </si>
  <si>
    <t>Blood-stained Marble Ritual Altar</t>
  </si>
  <si>
    <t>Guise of Nakási Wave-reaper</t>
  </si>
  <si>
    <t>Guise of Hármelak Golden-hand</t>
  </si>
  <si>
    <t>Mogo Bracegirdle, Costumer</t>
  </si>
  <si>
    <t>Treats and Trickery</t>
  </si>
  <si>
    <t>Guise of Galadriel</t>
  </si>
  <si>
    <t>Guise of Battle-ready Galadriel</t>
  </si>
  <si>
    <t>Guise of a Goblin Corsair</t>
  </si>
  <si>
    <t>Guise of Gandalf the Grey</t>
  </si>
  <si>
    <t>Guise of Gandalf the White</t>
  </si>
  <si>
    <t>Guise of Goldberry</t>
  </si>
  <si>
    <t>Guise of Tom Bombadil</t>
  </si>
  <si>
    <t>Guise of Durin VI</t>
  </si>
  <si>
    <t>Guise of Karazgar</t>
  </si>
  <si>
    <t>Guise of Saruman</t>
  </si>
  <si>
    <t>Guise of Gollum</t>
  </si>
  <si>
    <t>Basic Costume Grab-bag</t>
  </si>
  <si>
    <t>Doormat in a Box</t>
  </si>
  <si>
    <t>Guise of Skorgrím Dourhand</t>
  </si>
  <si>
    <t>Guise of Sara Oakheart</t>
  </si>
  <si>
    <t>Guise of Amarthiel</t>
  </si>
  <si>
    <t>Guise of Mordirith</t>
  </si>
  <si>
    <t>Guise of the Witch-king of Angmar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</si>
</sst>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96B17-13DE-4945-8C52-EB5DBDBF3B39}">
  <dimension ref="A1:T308"/>
  <sheetViews>
    <sheetView tabSelected="1" zoomScale="80" zoomScaleNormal="8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" sqref="A2"/>
    </sheetView>
  </sheetViews>
  <sheetFormatPr defaultRowHeight="15" x14ac:dyDescent="0.25"/>
  <cols>
    <col min="2" max="2" width="20" bestFit="1" customWidth="1"/>
    <col min="3" max="3" width="33.85546875" bestFit="1" customWidth="1"/>
    <col min="4" max="4" width="34.140625" customWidth="1"/>
    <col min="5" max="5" width="11.5703125" customWidth="1"/>
    <col min="6" max="6" width="9.140625" customWidth="1"/>
    <col min="7" max="7" width="23.7109375" bestFit="1" customWidth="1"/>
    <col min="8" max="8" width="15.85546875" bestFit="1" customWidth="1"/>
    <col min="9" max="9" width="23.140625" bestFit="1" customWidth="1"/>
    <col min="10" max="10" width="23.140625" customWidth="1"/>
    <col min="11" max="11" width="15.85546875" customWidth="1"/>
    <col min="12" max="12" width="81.85546875" customWidth="1"/>
    <col min="13" max="13" width="30.85546875" customWidth="1"/>
    <col min="14" max="14" width="12.85546875" customWidth="1"/>
    <col min="15" max="15" width="23.5703125" bestFit="1" customWidth="1"/>
    <col min="16" max="16" width="15.28515625" bestFit="1" customWidth="1"/>
    <col min="17" max="17" width="15.28515625" customWidth="1"/>
    <col min="18" max="18" width="30.85546875" bestFit="1" customWidth="1"/>
    <col min="19" max="19" width="23.7109375" bestFit="1" customWidth="1"/>
    <col min="20" max="20" width="22.85546875" bestFit="1" customWidth="1"/>
  </cols>
  <sheetData>
    <row r="1" spans="1:20" x14ac:dyDescent="0.25">
      <c r="A1" t="s">
        <v>13</v>
      </c>
      <c r="B1" t="s">
        <v>12</v>
      </c>
      <c r="C1" t="s">
        <v>0</v>
      </c>
      <c r="D1" t="s">
        <v>1</v>
      </c>
      <c r="E1" t="s">
        <v>11</v>
      </c>
      <c r="F1" t="s">
        <v>2</v>
      </c>
      <c r="G1" t="s">
        <v>18</v>
      </c>
      <c r="H1" t="s">
        <v>7</v>
      </c>
      <c r="J1" t="s">
        <v>15</v>
      </c>
      <c r="L1" s="1" t="s">
        <v>3</v>
      </c>
      <c r="M1" s="1" t="s">
        <v>13</v>
      </c>
      <c r="N1" s="1" t="s">
        <v>12</v>
      </c>
      <c r="O1" s="1" t="s">
        <v>16</v>
      </c>
      <c r="P1" t="s">
        <v>0</v>
      </c>
      <c r="Q1" t="s">
        <v>5</v>
      </c>
      <c r="R1" t="s">
        <v>4</v>
      </c>
      <c r="S1" t="s">
        <v>8</v>
      </c>
      <c r="T1" t="s">
        <v>10</v>
      </c>
    </row>
    <row r="2" spans="1:20" x14ac:dyDescent="0.25">
      <c r="A2" t="s">
        <v>17</v>
      </c>
      <c r="L2" t="str">
        <f t="shared" ref="L2" si="0">IF(
  NOT(ISBLANK(A2)),
  M2,
  IF(
    NOT(ISBLANK(B2)),
    N2,
    CONCATENATE("[",ROW()-1,"]={",Q2,R2,P2,"};"," -- ",C2)))</f>
        <v>[1]={[1]="DIVIDER1"; [2]={["ENGLISH"] = "Rosa Hornblower, Fall Festival Trader"; }; };</v>
      </c>
      <c r="M2" t="str">
        <f>CONCATENATE("[",ROW()-1,"]={[1]=""DIVIDER1""; [2]={[""ENGLISH""] = """,A2,"""; }; ",O2,"};")</f>
        <v>[1]={[1]="DIVIDER1"; [2]={["ENGLISH"] = "Rosa Hornblower, Fall Festival Trader"; }; };</v>
      </c>
      <c r="N2" t="str">
        <f>CONCATENATE("[",ROW()-1,"]={[1]=""DIVIDER2""; [2]={[""ENGLISH""] = """,B2,"""; }; ",O2,"};")</f>
        <v>[1]={[1]="DIVIDER2"; [2]={["ENGLISH"] = ""; }; };</v>
      </c>
      <c r="O2" t="str">
        <f>IF(LEN(J2)&gt;0,CONCATENATE("[""DIVIDER_HEIGHT""] = ",J2,";"),"")</f>
        <v/>
      </c>
      <c r="P2" t="str">
        <f>CONCATENATE("[1]=",D2,";")</f>
        <v>[1]=;</v>
      </c>
      <c r="Q2" t="str">
        <f>IF(F2&gt;0,CONCATENATE("[3]=",F2,";"),"")</f>
        <v/>
      </c>
      <c r="R2" t="str">
        <f>_xlfn.TEXTJOIN("",TRUE,"[2]={",S2:T2,"};")</f>
        <v>[2]={};</v>
      </c>
      <c r="S2" t="str">
        <f>IF(G2&gt;0,CONCATENATE("[""",G$1,"""]=",G2,";"),"")</f>
        <v/>
      </c>
      <c r="T2" t="str">
        <f>IF(H2&gt;0,CONCATENATE("[""",H$1,"""]=",H2,";"),"")</f>
        <v/>
      </c>
    </row>
    <row r="3" spans="1:20" x14ac:dyDescent="0.25">
      <c r="B3" t="s">
        <v>36</v>
      </c>
      <c r="L3" t="str">
        <f t="shared" ref="L3:L66" si="1">IF(
  NOT(ISBLANK(A3)),
  M3,
  IF(
    NOT(ISBLANK(B3)),
    N3,
    CONCATENATE("[",ROW()-1,"]={",Q3,R3,P3,"};"," -- ",C3)))</f>
        <v>[2]={[1]="DIVIDER2"; [2]={["ENGLISH"] = "New Items"; }; };</v>
      </c>
      <c r="M3" t="str">
        <f t="shared" ref="M3:M66" si="2">CONCATENATE("[",ROW()-1,"]={[1]=""DIVIDER1""; [2]={[""ENGLISH""] = """,A3,"""; }; ",O3,"};")</f>
        <v>[2]={[1]="DIVIDER1"; [2]={["ENGLISH"] = ""; }; };</v>
      </c>
      <c r="N3" t="str">
        <f t="shared" ref="N3:N66" si="3">CONCATENATE("[",ROW()-1,"]={[1]=""DIVIDER2""; [2]={[""ENGLISH""] = """,B3,"""; }; ",O3,"};")</f>
        <v>[2]={[1]="DIVIDER2"; [2]={["ENGLISH"] = "New Items"; }; };</v>
      </c>
      <c r="O3" t="str">
        <f t="shared" ref="O3:O66" si="4">IF(LEN(J3)&gt;0,CONCATENATE("[""DIVIDER_HEIGHT""] = ",J3,";"),"")</f>
        <v/>
      </c>
      <c r="P3" t="str">
        <f t="shared" ref="P3:P66" si="5">CONCATENATE("[1]=",D3,";")</f>
        <v>[1]=;</v>
      </c>
      <c r="Q3" t="str">
        <f t="shared" ref="Q3:Q66" si="6">IF(F3&gt;0,CONCATENATE("[3]=",F3,";"),"")</f>
        <v/>
      </c>
      <c r="R3" t="str">
        <f t="shared" ref="R3:R66" si="7">_xlfn.TEXTJOIN("",TRUE,"[2]={",S3:T3,"};")</f>
        <v>[2]={};</v>
      </c>
      <c r="S3" t="str">
        <f t="shared" ref="S3:S66" si="8">IF(G3&gt;0,CONCATENATE("[""",G$1,"""]=",G3,";"),"")</f>
        <v/>
      </c>
      <c r="T3" t="str">
        <f t="shared" ref="T3:T66" si="9">IF(H3&gt;0,CONCATENATE("[""",H$1,"""]=",H3,";"),"")</f>
        <v/>
      </c>
    </row>
    <row r="4" spans="1:20" x14ac:dyDescent="0.25">
      <c r="C4" t="s">
        <v>243</v>
      </c>
      <c r="D4">
        <v>1879536640</v>
      </c>
      <c r="G4">
        <v>24</v>
      </c>
      <c r="L4" t="str">
        <f t="shared" si="1"/>
        <v>[3]={[2]={["HARVESTMATH_FESTIVAL"]=24;};[1]=1879536640;}; -- Garments of the Midnight Raven - Gift-wrapped Selection Box</v>
      </c>
      <c r="M4" t="str">
        <f t="shared" si="2"/>
        <v>[3]={[1]="DIVIDER1"; [2]={["ENGLISH"] = ""; }; };</v>
      </c>
      <c r="N4" t="str">
        <f t="shared" si="3"/>
        <v>[3]={[1]="DIVIDER2"; [2]={["ENGLISH"] = ""; }; };</v>
      </c>
      <c r="O4" t="str">
        <f t="shared" si="4"/>
        <v/>
      </c>
      <c r="P4" t="str">
        <f t="shared" si="5"/>
        <v>[1]=1879536640;</v>
      </c>
      <c r="Q4" t="str">
        <f t="shared" si="6"/>
        <v/>
      </c>
      <c r="R4" t="str">
        <f t="shared" si="7"/>
        <v>[2]={["HARVESTMATH_FESTIVAL"]=24;};</v>
      </c>
      <c r="S4" t="str">
        <f t="shared" si="8"/>
        <v>["HARVESTMATH_FESTIVAL"]=24;</v>
      </c>
      <c r="T4" t="str">
        <f t="shared" si="9"/>
        <v/>
      </c>
    </row>
    <row r="5" spans="1:20" x14ac:dyDescent="0.25">
      <c r="C5" t="s">
        <v>248</v>
      </c>
      <c r="D5">
        <v>1879536594</v>
      </c>
      <c r="G5">
        <v>24</v>
      </c>
      <c r="L5" t="str">
        <f t="shared" si="1"/>
        <v>[4]={[2]={["HARVESTMATH_FESTIVAL"]=24;};[1]=1879536594;}; -- Cloak of the Midnight Raven</v>
      </c>
      <c r="M5" t="str">
        <f t="shared" si="2"/>
        <v>[4]={[1]="DIVIDER1"; [2]={["ENGLISH"] = ""; }; };</v>
      </c>
      <c r="N5" t="str">
        <f t="shared" si="3"/>
        <v>[4]={[1]="DIVIDER2"; [2]={["ENGLISH"] = ""; }; };</v>
      </c>
      <c r="O5" t="str">
        <f t="shared" si="4"/>
        <v/>
      </c>
      <c r="P5" t="str">
        <f t="shared" si="5"/>
        <v>[1]=1879536594;</v>
      </c>
      <c r="Q5" t="str">
        <f t="shared" si="6"/>
        <v/>
      </c>
      <c r="R5" t="str">
        <f t="shared" si="7"/>
        <v>[2]={["HARVESTMATH_FESTIVAL"]=24;};</v>
      </c>
      <c r="S5" t="str">
        <f t="shared" si="8"/>
        <v>["HARVESTMATH_FESTIVAL"]=24;</v>
      </c>
      <c r="T5" t="str">
        <f t="shared" si="9"/>
        <v/>
      </c>
    </row>
    <row r="6" spans="1:20" x14ac:dyDescent="0.25">
      <c r="C6" t="s">
        <v>246</v>
      </c>
      <c r="D6">
        <v>1879536597</v>
      </c>
      <c r="G6">
        <v>24</v>
      </c>
      <c r="L6" t="str">
        <f t="shared" si="1"/>
        <v>[5]={[2]={["HARVESTMATH_FESTIVAL"]=24;};[1]=1879536597;}; -- Boots of the Midnight Raven</v>
      </c>
      <c r="M6" t="str">
        <f t="shared" si="2"/>
        <v>[5]={[1]="DIVIDER1"; [2]={["ENGLISH"] = ""; }; };</v>
      </c>
      <c r="N6" t="str">
        <f t="shared" si="3"/>
        <v>[5]={[1]="DIVIDER2"; [2]={["ENGLISH"] = ""; }; };</v>
      </c>
      <c r="O6" t="str">
        <f t="shared" si="4"/>
        <v/>
      </c>
      <c r="P6" t="str">
        <f t="shared" si="5"/>
        <v>[1]=1879536597;</v>
      </c>
      <c r="Q6" t="str">
        <f t="shared" si="6"/>
        <v/>
      </c>
      <c r="R6" t="str">
        <f t="shared" si="7"/>
        <v>[2]={["HARVESTMATH_FESTIVAL"]=24;};</v>
      </c>
      <c r="S6" t="str">
        <f t="shared" si="8"/>
        <v>["HARVESTMATH_FESTIVAL"]=24;</v>
      </c>
      <c r="T6" t="str">
        <f t="shared" si="9"/>
        <v/>
      </c>
    </row>
    <row r="7" spans="1:20" x14ac:dyDescent="0.25">
      <c r="C7" t="s">
        <v>249</v>
      </c>
      <c r="D7">
        <v>1879536593</v>
      </c>
      <c r="G7">
        <v>24</v>
      </c>
      <c r="L7" t="str">
        <f t="shared" si="1"/>
        <v>[6]={[2]={["HARVESTMATH_FESTIVAL"]=24;};[1]=1879536593;}; -- Hood of the Midnight Raven</v>
      </c>
      <c r="M7" t="str">
        <f t="shared" si="2"/>
        <v>[6]={[1]="DIVIDER1"; [2]={["ENGLISH"] = ""; }; };</v>
      </c>
      <c r="N7" t="str">
        <f t="shared" si="3"/>
        <v>[6]={[1]="DIVIDER2"; [2]={["ENGLISH"] = ""; }; };</v>
      </c>
      <c r="O7" t="str">
        <f t="shared" si="4"/>
        <v/>
      </c>
      <c r="P7" t="str">
        <f t="shared" si="5"/>
        <v>[1]=1879536593;</v>
      </c>
      <c r="Q7" t="str">
        <f t="shared" si="6"/>
        <v/>
      </c>
      <c r="R7" t="str">
        <f t="shared" si="7"/>
        <v>[2]={["HARVESTMATH_FESTIVAL"]=24;};</v>
      </c>
      <c r="S7" t="str">
        <f t="shared" si="8"/>
        <v>["HARVESTMATH_FESTIVAL"]=24;</v>
      </c>
      <c r="T7" t="str">
        <f t="shared" si="9"/>
        <v/>
      </c>
    </row>
    <row r="8" spans="1:20" x14ac:dyDescent="0.25">
      <c r="C8" t="s">
        <v>247</v>
      </c>
      <c r="D8">
        <v>1879536596</v>
      </c>
      <c r="G8">
        <v>24</v>
      </c>
      <c r="L8" t="str">
        <f t="shared" si="1"/>
        <v>[7]={[2]={["HARVESTMATH_FESTIVAL"]=24;};[1]=1879536596;}; -- Scarf of the Midnight Raven</v>
      </c>
      <c r="M8" t="str">
        <f t="shared" si="2"/>
        <v>[7]={[1]="DIVIDER1"; [2]={["ENGLISH"] = ""; }; };</v>
      </c>
      <c r="N8" t="str">
        <f t="shared" si="3"/>
        <v>[7]={[1]="DIVIDER2"; [2]={["ENGLISH"] = ""; }; };</v>
      </c>
      <c r="O8" t="str">
        <f t="shared" si="4"/>
        <v/>
      </c>
      <c r="P8" t="str">
        <f t="shared" si="5"/>
        <v>[1]=1879536596;</v>
      </c>
      <c r="Q8" t="str">
        <f t="shared" si="6"/>
        <v/>
      </c>
      <c r="R8" t="str">
        <f t="shared" si="7"/>
        <v>[2]={["HARVESTMATH_FESTIVAL"]=24;};</v>
      </c>
      <c r="S8" t="str">
        <f t="shared" si="8"/>
        <v>["HARVESTMATH_FESTIVAL"]=24;</v>
      </c>
      <c r="T8" t="str">
        <f t="shared" si="9"/>
        <v/>
      </c>
    </row>
    <row r="9" spans="1:20" x14ac:dyDescent="0.25">
      <c r="C9" t="s">
        <v>245</v>
      </c>
      <c r="D9">
        <v>1879536595</v>
      </c>
      <c r="G9">
        <v>24</v>
      </c>
      <c r="L9" t="str">
        <f t="shared" si="1"/>
        <v>[8]={[2]={["HARVESTMATH_FESTIVAL"]=24;};[1]=1879536595;}; -- Robe of the Midnight Raven</v>
      </c>
      <c r="M9" t="str">
        <f t="shared" si="2"/>
        <v>[8]={[1]="DIVIDER1"; [2]={["ENGLISH"] = ""; }; };</v>
      </c>
      <c r="N9" t="str">
        <f t="shared" si="3"/>
        <v>[8]={[1]="DIVIDER2"; [2]={["ENGLISH"] = ""; }; };</v>
      </c>
      <c r="O9" t="str">
        <f t="shared" si="4"/>
        <v/>
      </c>
      <c r="P9" t="str">
        <f t="shared" si="5"/>
        <v>[1]=1879536595;</v>
      </c>
      <c r="Q9" t="str">
        <f t="shared" si="6"/>
        <v/>
      </c>
      <c r="R9" t="str">
        <f t="shared" si="7"/>
        <v>[2]={["HARVESTMATH_FESTIVAL"]=24;};</v>
      </c>
      <c r="S9" t="str">
        <f t="shared" si="8"/>
        <v>["HARVESTMATH_FESTIVAL"]=24;</v>
      </c>
      <c r="T9" t="str">
        <f t="shared" si="9"/>
        <v/>
      </c>
    </row>
    <row r="10" spans="1:20" x14ac:dyDescent="0.25">
      <c r="C10" t="s">
        <v>242</v>
      </c>
      <c r="D10">
        <v>1879536606</v>
      </c>
      <c r="G10">
        <v>40</v>
      </c>
      <c r="L10" t="str">
        <f t="shared" si="1"/>
        <v>[9]={[2]={["HARVESTMATH_FESTIVAL"]=40;};[1]=1879536606;}; -- Tome of the Midnight Raven</v>
      </c>
      <c r="M10" t="str">
        <f t="shared" si="2"/>
        <v>[9]={[1]="DIVIDER1"; [2]={["ENGLISH"] = ""; }; };</v>
      </c>
      <c r="N10" t="str">
        <f t="shared" si="3"/>
        <v>[9]={[1]="DIVIDER2"; [2]={["ENGLISH"] = ""; }; };</v>
      </c>
      <c r="O10" t="str">
        <f t="shared" si="4"/>
        <v/>
      </c>
      <c r="P10" t="str">
        <f t="shared" si="5"/>
        <v>[1]=1879536606;</v>
      </c>
      <c r="Q10" t="str">
        <f t="shared" si="6"/>
        <v/>
      </c>
      <c r="R10" t="str">
        <f t="shared" si="7"/>
        <v>[2]={["HARVESTMATH_FESTIVAL"]=40;};</v>
      </c>
      <c r="S10" t="str">
        <f t="shared" si="8"/>
        <v>["HARVESTMATH_FESTIVAL"]=40;</v>
      </c>
      <c r="T10" t="str">
        <f t="shared" si="9"/>
        <v/>
      </c>
    </row>
    <row r="11" spans="1:20" x14ac:dyDescent="0.25">
      <c r="C11" t="s">
        <v>242</v>
      </c>
      <c r="D11">
        <v>1879536606</v>
      </c>
      <c r="H11">
        <v>30</v>
      </c>
      <c r="L11" t="str">
        <f t="shared" si="1"/>
        <v>[10]={[2]={["GENERIC_MITHRIL"]=30;};[1]=1879536606;}; -- Tome of the Midnight Raven</v>
      </c>
      <c r="M11" t="str">
        <f t="shared" si="2"/>
        <v>[10]={[1]="DIVIDER1"; [2]={["ENGLISH"] = ""; }; };</v>
      </c>
      <c r="N11" t="str">
        <f t="shared" si="3"/>
        <v>[10]={[1]="DIVIDER2"; [2]={["ENGLISH"] = ""; }; };</v>
      </c>
      <c r="O11" t="str">
        <f t="shared" si="4"/>
        <v/>
      </c>
      <c r="P11" t="str">
        <f t="shared" si="5"/>
        <v>[1]=1879536606;</v>
      </c>
      <c r="Q11" t="str">
        <f t="shared" si="6"/>
        <v/>
      </c>
      <c r="R11" t="str">
        <f t="shared" si="7"/>
        <v>[2]={["GENERIC_MITHRIL"]=30;};</v>
      </c>
      <c r="S11" t="str">
        <f t="shared" si="8"/>
        <v/>
      </c>
      <c r="T11" t="str">
        <f t="shared" si="9"/>
        <v>["GENERIC_MITHRIL"]=30;</v>
      </c>
    </row>
    <row r="12" spans="1:20" x14ac:dyDescent="0.25">
      <c r="C12" t="s">
        <v>237</v>
      </c>
      <c r="D12">
        <v>1879536630</v>
      </c>
      <c r="G12">
        <v>60</v>
      </c>
      <c r="L12" t="str">
        <f t="shared" si="1"/>
        <v>[11]={[2]={["HARVESTMATH_FESTIVAL"]=60;};[1]=1879536630;}; -- Steed of the Midnight Raven</v>
      </c>
      <c r="M12" t="str">
        <f t="shared" si="2"/>
        <v>[11]={[1]="DIVIDER1"; [2]={["ENGLISH"] = ""; }; };</v>
      </c>
      <c r="N12" t="str">
        <f t="shared" si="3"/>
        <v>[11]={[1]="DIVIDER2"; [2]={["ENGLISH"] = ""; }; };</v>
      </c>
      <c r="O12" t="str">
        <f t="shared" si="4"/>
        <v/>
      </c>
      <c r="P12" t="str">
        <f t="shared" si="5"/>
        <v>[1]=1879536630;</v>
      </c>
      <c r="Q12" t="str">
        <f t="shared" si="6"/>
        <v/>
      </c>
      <c r="R12" t="str">
        <f t="shared" si="7"/>
        <v>[2]={["HARVESTMATH_FESTIVAL"]=60;};</v>
      </c>
      <c r="S12" t="str">
        <f t="shared" si="8"/>
        <v>["HARVESTMATH_FESTIVAL"]=60;</v>
      </c>
      <c r="T12" t="str">
        <f t="shared" si="9"/>
        <v/>
      </c>
    </row>
    <row r="13" spans="1:20" x14ac:dyDescent="0.25">
      <c r="C13" t="s">
        <v>237</v>
      </c>
      <c r="D13">
        <v>1879536630</v>
      </c>
      <c r="H13">
        <v>70</v>
      </c>
      <c r="L13" t="str">
        <f t="shared" si="1"/>
        <v>[12]={[2]={["GENERIC_MITHRIL"]=70;};[1]=1879536630;}; -- Steed of the Midnight Raven</v>
      </c>
      <c r="M13" t="str">
        <f t="shared" si="2"/>
        <v>[12]={[1]="DIVIDER1"; [2]={["ENGLISH"] = ""; }; };</v>
      </c>
      <c r="N13" t="str">
        <f t="shared" si="3"/>
        <v>[12]={[1]="DIVIDER2"; [2]={["ENGLISH"] = ""; }; };</v>
      </c>
      <c r="O13" t="str">
        <f t="shared" si="4"/>
        <v/>
      </c>
      <c r="P13" t="str">
        <f t="shared" si="5"/>
        <v>[1]=1879536630;</v>
      </c>
      <c r="Q13" t="str">
        <f t="shared" si="6"/>
        <v/>
      </c>
      <c r="R13" t="str">
        <f t="shared" si="7"/>
        <v>[2]={["GENERIC_MITHRIL"]=70;};</v>
      </c>
      <c r="S13" t="str">
        <f t="shared" si="8"/>
        <v/>
      </c>
      <c r="T13" t="str">
        <f t="shared" si="9"/>
        <v>["GENERIC_MITHRIL"]=70;</v>
      </c>
    </row>
    <row r="14" spans="1:20" x14ac:dyDescent="0.25">
      <c r="C14" t="s">
        <v>238</v>
      </c>
      <c r="D14">
        <v>1879536636</v>
      </c>
      <c r="G14">
        <v>24</v>
      </c>
      <c r="L14" t="str">
        <f t="shared" si="1"/>
        <v>[13]={[2]={["HARVESTMATH_FESTIVAL"]=24;};[1]=1879536636;}; -- Accessory of the Midnight Raven</v>
      </c>
      <c r="M14" t="str">
        <f t="shared" si="2"/>
        <v>[13]={[1]="DIVIDER1"; [2]={["ENGLISH"] = ""; }; };</v>
      </c>
      <c r="N14" t="str">
        <f t="shared" si="3"/>
        <v>[13]={[1]="DIVIDER2"; [2]={["ENGLISH"] = ""; }; };</v>
      </c>
      <c r="O14" t="str">
        <f t="shared" si="4"/>
        <v/>
      </c>
      <c r="P14" t="str">
        <f t="shared" si="5"/>
        <v>[1]=1879536636;</v>
      </c>
      <c r="Q14" t="str">
        <f t="shared" si="6"/>
        <v/>
      </c>
      <c r="R14" t="str">
        <f t="shared" si="7"/>
        <v>[2]={["HARVESTMATH_FESTIVAL"]=24;};</v>
      </c>
      <c r="S14" t="str">
        <f t="shared" si="8"/>
        <v>["HARVESTMATH_FESTIVAL"]=24;</v>
      </c>
      <c r="T14" t="str">
        <f t="shared" si="9"/>
        <v/>
      </c>
    </row>
    <row r="15" spans="1:20" x14ac:dyDescent="0.25">
      <c r="C15" t="s">
        <v>239</v>
      </c>
      <c r="D15">
        <v>1879536638</v>
      </c>
      <c r="E15" s="1"/>
      <c r="G15">
        <v>24</v>
      </c>
      <c r="L15" t="str">
        <f t="shared" si="1"/>
        <v>[14]={[2]={["HARVESTMATH_FESTIVAL"]=24;};[1]=1879536638;}; -- Caparison of the Midnight Raven</v>
      </c>
      <c r="M15" t="str">
        <f t="shared" si="2"/>
        <v>[14]={[1]="DIVIDER1"; [2]={["ENGLISH"] = ""; }; };</v>
      </c>
      <c r="N15" t="str">
        <f t="shared" si="3"/>
        <v>[14]={[1]="DIVIDER2"; [2]={["ENGLISH"] = ""; }; };</v>
      </c>
      <c r="O15" t="str">
        <f t="shared" si="4"/>
        <v/>
      </c>
      <c r="P15" t="str">
        <f t="shared" si="5"/>
        <v>[1]=1879536638;</v>
      </c>
      <c r="Q15" t="str">
        <f t="shared" si="6"/>
        <v/>
      </c>
      <c r="R15" t="str">
        <f t="shared" si="7"/>
        <v>[2]={["HARVESTMATH_FESTIVAL"]=24;};</v>
      </c>
      <c r="S15" t="str">
        <f t="shared" si="8"/>
        <v>["HARVESTMATH_FESTIVAL"]=24;</v>
      </c>
      <c r="T15" t="str">
        <f t="shared" si="9"/>
        <v/>
      </c>
    </row>
    <row r="16" spans="1:20" x14ac:dyDescent="0.25">
      <c r="C16" t="s">
        <v>240</v>
      </c>
      <c r="D16">
        <v>1879536635</v>
      </c>
      <c r="E16" s="1"/>
      <c r="G16">
        <v>24</v>
      </c>
      <c r="L16" t="str">
        <f t="shared" si="1"/>
        <v>[15]={[2]={["HARVESTMATH_FESTIVAL"]=24;};[1]=1879536635;}; -- Head-piece of the Midnight Raven</v>
      </c>
      <c r="M16" t="str">
        <f t="shared" si="2"/>
        <v>[15]={[1]="DIVIDER1"; [2]={["ENGLISH"] = ""; }; };</v>
      </c>
      <c r="N16" t="str">
        <f t="shared" si="3"/>
        <v>[15]={[1]="DIVIDER2"; [2]={["ENGLISH"] = ""; }; };</v>
      </c>
      <c r="O16" t="str">
        <f t="shared" si="4"/>
        <v/>
      </c>
      <c r="P16" t="str">
        <f t="shared" si="5"/>
        <v>[1]=1879536635;</v>
      </c>
      <c r="Q16" t="str">
        <f t="shared" si="6"/>
        <v/>
      </c>
      <c r="R16" t="str">
        <f t="shared" si="7"/>
        <v>[2]={["HARVESTMATH_FESTIVAL"]=24;};</v>
      </c>
      <c r="S16" t="str">
        <f t="shared" si="8"/>
        <v>["HARVESTMATH_FESTIVAL"]=24;</v>
      </c>
      <c r="T16" t="str">
        <f t="shared" si="9"/>
        <v/>
      </c>
    </row>
    <row r="17" spans="2:20" x14ac:dyDescent="0.25">
      <c r="C17" t="s">
        <v>241</v>
      </c>
      <c r="D17">
        <v>1879536637</v>
      </c>
      <c r="E17" s="1"/>
      <c r="G17">
        <v>18</v>
      </c>
      <c r="L17" t="str">
        <f t="shared" si="1"/>
        <v>[16]={[2]={["HARVESTMATH_FESTIVAL"]=18;};[1]=1879536637;}; -- Leg-guards of the Midnight Raven</v>
      </c>
      <c r="M17" t="str">
        <f t="shared" si="2"/>
        <v>[16]={[1]="DIVIDER1"; [2]={["ENGLISH"] = ""; }; };</v>
      </c>
      <c r="N17" t="str">
        <f t="shared" si="3"/>
        <v>[16]={[1]="DIVIDER2"; [2]={["ENGLISH"] = ""; }; };</v>
      </c>
      <c r="O17" t="str">
        <f t="shared" si="4"/>
        <v/>
      </c>
      <c r="P17" t="str">
        <f t="shared" si="5"/>
        <v>[1]=1879536637;</v>
      </c>
      <c r="Q17" t="str">
        <f t="shared" si="6"/>
        <v/>
      </c>
      <c r="R17" t="str">
        <f t="shared" si="7"/>
        <v>[2]={["HARVESTMATH_FESTIVAL"]=18;};</v>
      </c>
      <c r="S17" t="str">
        <f t="shared" si="8"/>
        <v>["HARVESTMATH_FESTIVAL"]=18;</v>
      </c>
      <c r="T17" t="str">
        <f t="shared" si="9"/>
        <v/>
      </c>
    </row>
    <row r="18" spans="2:20" x14ac:dyDescent="0.25">
      <c r="C18" t="s">
        <v>244</v>
      </c>
      <c r="D18">
        <v>1879536642</v>
      </c>
      <c r="E18" s="1"/>
      <c r="H18">
        <v>70</v>
      </c>
      <c r="L18" t="str">
        <f t="shared" si="1"/>
        <v>[17]={[2]={["GENERIC_MITHRIL"]=70;};[1]=1879536642;}; -- War-steed Cosmetics of the Midnight Raven</v>
      </c>
      <c r="M18" t="str">
        <f t="shared" si="2"/>
        <v>[17]={[1]="DIVIDER1"; [2]={["ENGLISH"] = ""; }; };</v>
      </c>
      <c r="N18" t="str">
        <f t="shared" si="3"/>
        <v>[17]={[1]="DIVIDER2"; [2]={["ENGLISH"] = ""; }; };</v>
      </c>
      <c r="O18" t="str">
        <f t="shared" si="4"/>
        <v/>
      </c>
      <c r="P18" t="str">
        <f t="shared" si="5"/>
        <v>[1]=1879536642;</v>
      </c>
      <c r="Q18" t="str">
        <f t="shared" si="6"/>
        <v/>
      </c>
      <c r="R18" t="str">
        <f t="shared" si="7"/>
        <v>[2]={["GENERIC_MITHRIL"]=70;};</v>
      </c>
      <c r="S18" t="str">
        <f t="shared" si="8"/>
        <v/>
      </c>
      <c r="T18" t="str">
        <f t="shared" si="9"/>
        <v>["GENERIC_MITHRIL"]=70;</v>
      </c>
    </row>
    <row r="19" spans="2:20" x14ac:dyDescent="0.25">
      <c r="C19" t="s">
        <v>260</v>
      </c>
      <c r="D19">
        <v>1879520602</v>
      </c>
      <c r="H19">
        <v>75</v>
      </c>
      <c r="L19" t="str">
        <f t="shared" si="1"/>
        <v>[18]={[2]={["GENERIC_MITHRIL"]=75;};[1]=1879520602;}; -- Guise of Nakási Wave-reaper</v>
      </c>
      <c r="M19" t="str">
        <f t="shared" si="2"/>
        <v>[18]={[1]="DIVIDER1"; [2]={["ENGLISH"] = ""; }; };</v>
      </c>
      <c r="N19" t="str">
        <f t="shared" si="3"/>
        <v>[18]={[1]="DIVIDER2"; [2]={["ENGLISH"] = ""; }; };</v>
      </c>
      <c r="O19" t="str">
        <f t="shared" si="4"/>
        <v/>
      </c>
      <c r="P19" t="str">
        <f t="shared" si="5"/>
        <v>[1]=1879520602;</v>
      </c>
      <c r="Q19" t="str">
        <f t="shared" si="6"/>
        <v/>
      </c>
      <c r="R19" t="str">
        <f t="shared" si="7"/>
        <v>[2]={["GENERIC_MITHRIL"]=75;};</v>
      </c>
      <c r="S19" t="str">
        <f t="shared" si="8"/>
        <v/>
      </c>
      <c r="T19" t="str">
        <f t="shared" si="9"/>
        <v>["GENERIC_MITHRIL"]=75;</v>
      </c>
    </row>
    <row r="20" spans="2:20" x14ac:dyDescent="0.25">
      <c r="C20" t="s">
        <v>261</v>
      </c>
      <c r="D20">
        <v>1879520611</v>
      </c>
      <c r="H20">
        <v>75</v>
      </c>
      <c r="L20" t="str">
        <f t="shared" si="1"/>
        <v>[19]={[2]={["GENERIC_MITHRIL"]=75;};[1]=1879520611;}; -- Guise of Hármelak Golden-hand</v>
      </c>
      <c r="M20" t="str">
        <f t="shared" si="2"/>
        <v>[19]={[1]="DIVIDER1"; [2]={["ENGLISH"] = ""; }; };</v>
      </c>
      <c r="N20" t="str">
        <f t="shared" si="3"/>
        <v>[19]={[1]="DIVIDER2"; [2]={["ENGLISH"] = ""; }; };</v>
      </c>
      <c r="O20" t="str">
        <f t="shared" si="4"/>
        <v/>
      </c>
      <c r="P20" t="str">
        <f t="shared" si="5"/>
        <v>[1]=1879520611;</v>
      </c>
      <c r="Q20" t="str">
        <f t="shared" si="6"/>
        <v/>
      </c>
      <c r="R20" t="str">
        <f t="shared" si="7"/>
        <v>[2]={["GENERIC_MITHRIL"]=75;};</v>
      </c>
      <c r="S20" t="str">
        <f t="shared" si="8"/>
        <v/>
      </c>
      <c r="T20" t="str">
        <f t="shared" si="9"/>
        <v>["GENERIC_MITHRIL"]=75;</v>
      </c>
    </row>
    <row r="21" spans="2:20" x14ac:dyDescent="0.25">
      <c r="C21" t="s">
        <v>250</v>
      </c>
      <c r="D21">
        <v>1879536599</v>
      </c>
      <c r="G21">
        <v>10</v>
      </c>
      <c r="L21" t="str">
        <f t="shared" si="1"/>
        <v>[20]={[2]={["HARVESTMATH_FESTIVAL"]=10;};[1]=1879536599;}; -- Chair of the Midnight Raven</v>
      </c>
      <c r="M21" t="str">
        <f t="shared" si="2"/>
        <v>[20]={[1]="DIVIDER1"; [2]={["ENGLISH"] = ""; }; };</v>
      </c>
      <c r="N21" t="str">
        <f t="shared" si="3"/>
        <v>[20]={[1]="DIVIDER2"; [2]={["ENGLISH"] = ""; }; };</v>
      </c>
      <c r="O21" t="str">
        <f t="shared" si="4"/>
        <v/>
      </c>
      <c r="P21" t="str">
        <f t="shared" si="5"/>
        <v>[1]=1879536599;</v>
      </c>
      <c r="Q21" t="str">
        <f t="shared" si="6"/>
        <v/>
      </c>
      <c r="R21" t="str">
        <f t="shared" si="7"/>
        <v>[2]={["HARVESTMATH_FESTIVAL"]=10;};</v>
      </c>
      <c r="S21" t="str">
        <f t="shared" si="8"/>
        <v>["HARVESTMATH_FESTIVAL"]=10;</v>
      </c>
      <c r="T21" t="str">
        <f t="shared" si="9"/>
        <v/>
      </c>
    </row>
    <row r="22" spans="2:20" x14ac:dyDescent="0.25">
      <c r="C22" t="s">
        <v>251</v>
      </c>
      <c r="D22">
        <v>1879536600</v>
      </c>
      <c r="G22">
        <v>15</v>
      </c>
      <c r="L22" t="str">
        <f t="shared" si="1"/>
        <v>[21]={[2]={["HARVESTMATH_FESTIVAL"]=15;};[1]=1879536600;}; -- Table of the Midnight Raven</v>
      </c>
      <c r="M22" t="str">
        <f t="shared" si="2"/>
        <v>[21]={[1]="DIVIDER1"; [2]={["ENGLISH"] = ""; }; };</v>
      </c>
      <c r="N22" t="str">
        <f t="shared" si="3"/>
        <v>[21]={[1]="DIVIDER2"; [2]={["ENGLISH"] = ""; }; };</v>
      </c>
      <c r="O22" t="str">
        <f t="shared" si="4"/>
        <v/>
      </c>
      <c r="P22" t="str">
        <f t="shared" si="5"/>
        <v>[1]=1879536600;</v>
      </c>
      <c r="Q22" t="str">
        <f t="shared" si="6"/>
        <v/>
      </c>
      <c r="R22" t="str">
        <f t="shared" si="7"/>
        <v>[2]={["HARVESTMATH_FESTIVAL"]=15;};</v>
      </c>
      <c r="S22" t="str">
        <f t="shared" si="8"/>
        <v>["HARVESTMATH_FESTIVAL"]=15;</v>
      </c>
      <c r="T22" t="str">
        <f t="shared" si="9"/>
        <v/>
      </c>
    </row>
    <row r="23" spans="2:20" x14ac:dyDescent="0.25">
      <c r="C23" t="s">
        <v>252</v>
      </c>
      <c r="D23">
        <v>1879536598</v>
      </c>
      <c r="G23">
        <v>30</v>
      </c>
      <c r="L23" t="str">
        <f t="shared" si="1"/>
        <v>[22]={[2]={["HARVESTMATH_FESTIVAL"]=30;};[1]=1879536598;}; -- Working Table of the Midnight Raven</v>
      </c>
      <c r="M23" t="str">
        <f t="shared" si="2"/>
        <v>[22]={[1]="DIVIDER1"; [2]={["ENGLISH"] = ""; }; };</v>
      </c>
      <c r="N23" t="str">
        <f t="shared" si="3"/>
        <v>[22]={[1]="DIVIDER2"; [2]={["ENGLISH"] = ""; }; };</v>
      </c>
      <c r="O23" t="str">
        <f t="shared" si="4"/>
        <v/>
      </c>
      <c r="P23" t="str">
        <f t="shared" si="5"/>
        <v>[1]=1879536598;</v>
      </c>
      <c r="Q23" t="str">
        <f t="shared" si="6"/>
        <v/>
      </c>
      <c r="R23" t="str">
        <f t="shared" si="7"/>
        <v>[2]={["HARVESTMATH_FESTIVAL"]=30;};</v>
      </c>
      <c r="S23" t="str">
        <f t="shared" si="8"/>
        <v>["HARVESTMATH_FESTIVAL"]=30;</v>
      </c>
      <c r="T23" t="str">
        <f t="shared" si="9"/>
        <v/>
      </c>
    </row>
    <row r="24" spans="2:20" x14ac:dyDescent="0.25">
      <c r="C24" t="s">
        <v>253</v>
      </c>
      <c r="D24">
        <v>1879498896</v>
      </c>
      <c r="G24">
        <v>8</v>
      </c>
      <c r="L24" t="str">
        <f t="shared" si="1"/>
        <v>[23]={[2]={["HARVESTMATH_FESTIVAL"]=8;};[1]=1879498896;}; -- Small Bonepile</v>
      </c>
      <c r="M24" t="str">
        <f t="shared" si="2"/>
        <v>[23]={[1]="DIVIDER1"; [2]={["ENGLISH"] = ""; }; };</v>
      </c>
      <c r="N24" t="str">
        <f t="shared" si="3"/>
        <v>[23]={[1]="DIVIDER2"; [2]={["ENGLISH"] = ""; }; };</v>
      </c>
      <c r="O24" t="str">
        <f t="shared" si="4"/>
        <v/>
      </c>
      <c r="P24" t="str">
        <f t="shared" si="5"/>
        <v>[1]=1879498896;</v>
      </c>
      <c r="Q24" t="str">
        <f t="shared" si="6"/>
        <v/>
      </c>
      <c r="R24" t="str">
        <f t="shared" si="7"/>
        <v>[2]={["HARVESTMATH_FESTIVAL"]=8;};</v>
      </c>
      <c r="S24" t="str">
        <f t="shared" si="8"/>
        <v>["HARVESTMATH_FESTIVAL"]=8;</v>
      </c>
      <c r="T24" t="str">
        <f t="shared" si="9"/>
        <v/>
      </c>
    </row>
    <row r="25" spans="2:20" x14ac:dyDescent="0.25">
      <c r="C25" t="s">
        <v>254</v>
      </c>
      <c r="D25">
        <v>1879498897</v>
      </c>
      <c r="G25">
        <v>12</v>
      </c>
      <c r="L25" t="str">
        <f t="shared" si="1"/>
        <v>[24]={[2]={["HARVESTMATH_FESTIVAL"]=12;};[1]=1879498897;}; -- Medium Bonepile</v>
      </c>
      <c r="M25" t="str">
        <f t="shared" si="2"/>
        <v>[24]={[1]="DIVIDER1"; [2]={["ENGLISH"] = ""; }; };</v>
      </c>
      <c r="N25" t="str">
        <f t="shared" si="3"/>
        <v>[24]={[1]="DIVIDER2"; [2]={["ENGLISH"] = ""; }; };</v>
      </c>
      <c r="O25" t="str">
        <f t="shared" si="4"/>
        <v/>
      </c>
      <c r="P25" t="str">
        <f t="shared" si="5"/>
        <v>[1]=1879498897;</v>
      </c>
      <c r="Q25" t="str">
        <f t="shared" si="6"/>
        <v/>
      </c>
      <c r="R25" t="str">
        <f t="shared" si="7"/>
        <v>[2]={["HARVESTMATH_FESTIVAL"]=12;};</v>
      </c>
      <c r="S25" t="str">
        <f t="shared" si="8"/>
        <v>["HARVESTMATH_FESTIVAL"]=12;</v>
      </c>
      <c r="T25" t="str">
        <f t="shared" si="9"/>
        <v/>
      </c>
    </row>
    <row r="26" spans="2:20" x14ac:dyDescent="0.25">
      <c r="C26" t="s">
        <v>255</v>
      </c>
      <c r="D26">
        <v>1879498898</v>
      </c>
      <c r="G26">
        <v>18</v>
      </c>
      <c r="L26" t="str">
        <f t="shared" si="1"/>
        <v>[25]={[2]={["HARVESTMATH_FESTIVAL"]=18;};[1]=1879498898;}; -- Large Bonepile</v>
      </c>
      <c r="M26" t="str">
        <f t="shared" si="2"/>
        <v>[25]={[1]="DIVIDER1"; [2]={["ENGLISH"] = ""; }; };</v>
      </c>
      <c r="N26" t="str">
        <f t="shared" si="3"/>
        <v>[25]={[1]="DIVIDER2"; [2]={["ENGLISH"] = ""; }; };</v>
      </c>
      <c r="O26" t="str">
        <f t="shared" si="4"/>
        <v/>
      </c>
      <c r="P26" t="str">
        <f t="shared" si="5"/>
        <v>[1]=1879498898;</v>
      </c>
      <c r="Q26" t="str">
        <f t="shared" si="6"/>
        <v/>
      </c>
      <c r="R26" t="str">
        <f t="shared" si="7"/>
        <v>[2]={["HARVESTMATH_FESTIVAL"]=18;};</v>
      </c>
      <c r="S26" t="str">
        <f t="shared" si="8"/>
        <v>["HARVESTMATH_FESTIVAL"]=18;</v>
      </c>
      <c r="T26" t="str">
        <f t="shared" si="9"/>
        <v/>
      </c>
    </row>
    <row r="27" spans="2:20" x14ac:dyDescent="0.25">
      <c r="C27" t="s">
        <v>256</v>
      </c>
      <c r="D27">
        <v>1879517277</v>
      </c>
      <c r="G27">
        <v>20</v>
      </c>
      <c r="L27" t="str">
        <f t="shared" si="1"/>
        <v>[26]={[2]={["HARVESTMATH_FESTIVAL"]=20;};[1]=1879517277;}; -- Dark Ritual Altar</v>
      </c>
      <c r="M27" t="str">
        <f t="shared" si="2"/>
        <v>[26]={[1]="DIVIDER1"; [2]={["ENGLISH"] = ""; }; };</v>
      </c>
      <c r="N27" t="str">
        <f t="shared" si="3"/>
        <v>[26]={[1]="DIVIDER2"; [2]={["ENGLISH"] = ""; }; };</v>
      </c>
      <c r="O27" t="str">
        <f t="shared" si="4"/>
        <v/>
      </c>
      <c r="P27" t="str">
        <f t="shared" si="5"/>
        <v>[1]=1879517277;</v>
      </c>
      <c r="Q27" t="str">
        <f t="shared" si="6"/>
        <v/>
      </c>
      <c r="R27" t="str">
        <f t="shared" si="7"/>
        <v>[2]={["HARVESTMATH_FESTIVAL"]=20;};</v>
      </c>
      <c r="S27" t="str">
        <f t="shared" si="8"/>
        <v>["HARVESTMATH_FESTIVAL"]=20;</v>
      </c>
      <c r="T27" t="str">
        <f t="shared" si="9"/>
        <v/>
      </c>
    </row>
    <row r="28" spans="2:20" x14ac:dyDescent="0.25">
      <c r="C28" t="s">
        <v>257</v>
      </c>
      <c r="D28">
        <v>1879517278</v>
      </c>
      <c r="G28">
        <v>20</v>
      </c>
      <c r="L28" t="str">
        <f t="shared" si="1"/>
        <v>[27]={[2]={["HARVESTMATH_FESTIVAL"]=20;};[1]=1879517278;}; -- Blood-stained Dark Ritual Altar</v>
      </c>
      <c r="M28" t="str">
        <f t="shared" si="2"/>
        <v>[27]={[1]="DIVIDER1"; [2]={["ENGLISH"] = ""; }; };</v>
      </c>
      <c r="N28" t="str">
        <f t="shared" si="3"/>
        <v>[27]={[1]="DIVIDER2"; [2]={["ENGLISH"] = ""; }; };</v>
      </c>
      <c r="O28" t="str">
        <f t="shared" si="4"/>
        <v/>
      </c>
      <c r="P28" t="str">
        <f t="shared" si="5"/>
        <v>[1]=1879517278;</v>
      </c>
      <c r="Q28" t="str">
        <f t="shared" si="6"/>
        <v/>
      </c>
      <c r="R28" t="str">
        <f t="shared" si="7"/>
        <v>[2]={["HARVESTMATH_FESTIVAL"]=20;};</v>
      </c>
      <c r="S28" t="str">
        <f t="shared" si="8"/>
        <v>["HARVESTMATH_FESTIVAL"]=20;</v>
      </c>
      <c r="T28" t="str">
        <f t="shared" si="9"/>
        <v/>
      </c>
    </row>
    <row r="29" spans="2:20" x14ac:dyDescent="0.25">
      <c r="C29" t="s">
        <v>258</v>
      </c>
      <c r="D29">
        <v>1879517279</v>
      </c>
      <c r="G29">
        <v>20</v>
      </c>
      <c r="L29" t="str">
        <f t="shared" si="1"/>
        <v>[28]={[2]={["HARVESTMATH_FESTIVAL"]=20;};[1]=1879517279;}; -- Marble Ritual Altar</v>
      </c>
      <c r="M29" t="str">
        <f t="shared" si="2"/>
        <v>[28]={[1]="DIVIDER1"; [2]={["ENGLISH"] = ""; }; };</v>
      </c>
      <c r="N29" t="str">
        <f t="shared" si="3"/>
        <v>[28]={[1]="DIVIDER2"; [2]={["ENGLISH"] = ""; }; };</v>
      </c>
      <c r="O29" t="str">
        <f t="shared" si="4"/>
        <v/>
      </c>
      <c r="P29" t="str">
        <f t="shared" si="5"/>
        <v>[1]=1879517279;</v>
      </c>
      <c r="Q29" t="str">
        <f t="shared" si="6"/>
        <v/>
      </c>
      <c r="R29" t="str">
        <f t="shared" si="7"/>
        <v>[2]={["HARVESTMATH_FESTIVAL"]=20;};</v>
      </c>
      <c r="S29" t="str">
        <f t="shared" si="8"/>
        <v>["HARVESTMATH_FESTIVAL"]=20;</v>
      </c>
      <c r="T29" t="str">
        <f t="shared" si="9"/>
        <v/>
      </c>
    </row>
    <row r="30" spans="2:20" x14ac:dyDescent="0.25">
      <c r="C30" t="s">
        <v>259</v>
      </c>
      <c r="D30">
        <v>1879517280</v>
      </c>
      <c r="G30">
        <v>20</v>
      </c>
      <c r="L30" t="str">
        <f t="shared" si="1"/>
        <v>[29]={[2]={["HARVESTMATH_FESTIVAL"]=20;};[1]=1879517280;}; -- Blood-stained Marble Ritual Altar</v>
      </c>
      <c r="M30" t="str">
        <f t="shared" si="2"/>
        <v>[29]={[1]="DIVIDER1"; [2]={["ENGLISH"] = ""; }; };</v>
      </c>
      <c r="N30" t="str">
        <f t="shared" si="3"/>
        <v>[29]={[1]="DIVIDER2"; [2]={["ENGLISH"] = ""; }; };</v>
      </c>
      <c r="O30" t="str">
        <f t="shared" si="4"/>
        <v/>
      </c>
      <c r="P30" t="str">
        <f t="shared" si="5"/>
        <v>[1]=1879517280;</v>
      </c>
      <c r="Q30" t="str">
        <f t="shared" si="6"/>
        <v/>
      </c>
      <c r="R30" t="str">
        <f t="shared" si="7"/>
        <v>[2]={["HARVESTMATH_FESTIVAL"]=20;};</v>
      </c>
      <c r="S30" t="str">
        <f t="shared" si="8"/>
        <v>["HARVESTMATH_FESTIVAL"]=20;</v>
      </c>
      <c r="T30" t="str">
        <f t="shared" si="9"/>
        <v/>
      </c>
    </row>
    <row r="31" spans="2:20" x14ac:dyDescent="0.25">
      <c r="B31" t="s">
        <v>37</v>
      </c>
      <c r="L31" t="str">
        <f t="shared" si="1"/>
        <v>[30]={[1]="DIVIDER2"; [2]={["ENGLISH"] = "Fall Festival Steeds"; }; };</v>
      </c>
      <c r="M31" t="str">
        <f t="shared" si="2"/>
        <v>[30]={[1]="DIVIDER1"; [2]={["ENGLISH"] = ""; }; };</v>
      </c>
      <c r="N31" t="str">
        <f t="shared" si="3"/>
        <v>[30]={[1]="DIVIDER2"; [2]={["ENGLISH"] = "Fall Festival Steeds"; }; };</v>
      </c>
      <c r="O31" t="str">
        <f t="shared" si="4"/>
        <v/>
      </c>
      <c r="P31" t="str">
        <f t="shared" si="5"/>
        <v>[1]=;</v>
      </c>
      <c r="Q31" t="str">
        <f t="shared" si="6"/>
        <v/>
      </c>
      <c r="R31" t="str">
        <f t="shared" si="7"/>
        <v>[2]={};</v>
      </c>
      <c r="S31" t="str">
        <f t="shared" si="8"/>
        <v/>
      </c>
      <c r="T31" t="str">
        <f t="shared" si="9"/>
        <v/>
      </c>
    </row>
    <row r="32" spans="2:20" x14ac:dyDescent="0.25">
      <c r="C32" t="s">
        <v>237</v>
      </c>
      <c r="D32">
        <v>1879536630</v>
      </c>
      <c r="G32">
        <v>60</v>
      </c>
      <c r="L32" t="str">
        <f t="shared" si="1"/>
        <v>[31]={[2]={["HARVESTMATH_FESTIVAL"]=60;};[1]=1879536630;}; -- Steed of the Midnight Raven</v>
      </c>
      <c r="M32" t="str">
        <f t="shared" si="2"/>
        <v>[31]={[1]="DIVIDER1"; [2]={["ENGLISH"] = ""; }; };</v>
      </c>
      <c r="N32" t="str">
        <f t="shared" si="3"/>
        <v>[31]={[1]="DIVIDER2"; [2]={["ENGLISH"] = ""; }; };</v>
      </c>
      <c r="O32" t="str">
        <f t="shared" si="4"/>
        <v/>
      </c>
      <c r="P32" t="str">
        <f t="shared" si="5"/>
        <v>[1]=1879536630;</v>
      </c>
      <c r="Q32" t="str">
        <f t="shared" si="6"/>
        <v/>
      </c>
      <c r="R32" t="str">
        <f t="shared" si="7"/>
        <v>[2]={["HARVESTMATH_FESTIVAL"]=60;};</v>
      </c>
      <c r="S32" t="str">
        <f t="shared" si="8"/>
        <v>["HARVESTMATH_FESTIVAL"]=60;</v>
      </c>
      <c r="T32" t="str">
        <f t="shared" si="9"/>
        <v/>
      </c>
    </row>
    <row r="33" spans="2:20" x14ac:dyDescent="0.25">
      <c r="C33" t="s">
        <v>238</v>
      </c>
      <c r="D33">
        <v>1879536636</v>
      </c>
      <c r="G33">
        <v>24</v>
      </c>
      <c r="L33" t="str">
        <f t="shared" si="1"/>
        <v>[32]={[2]={["HARVESTMATH_FESTIVAL"]=24;};[1]=1879536636;}; -- Accessory of the Midnight Raven</v>
      </c>
      <c r="M33" t="str">
        <f t="shared" si="2"/>
        <v>[32]={[1]="DIVIDER1"; [2]={["ENGLISH"] = ""; }; };</v>
      </c>
      <c r="N33" t="str">
        <f t="shared" si="3"/>
        <v>[32]={[1]="DIVIDER2"; [2]={["ENGLISH"] = ""; }; };</v>
      </c>
      <c r="O33" t="str">
        <f t="shared" si="4"/>
        <v/>
      </c>
      <c r="P33" t="str">
        <f t="shared" si="5"/>
        <v>[1]=1879536636;</v>
      </c>
      <c r="Q33" t="str">
        <f t="shared" si="6"/>
        <v/>
      </c>
      <c r="R33" t="str">
        <f t="shared" si="7"/>
        <v>[2]={["HARVESTMATH_FESTIVAL"]=24;};</v>
      </c>
      <c r="S33" t="str">
        <f t="shared" si="8"/>
        <v>["HARVESTMATH_FESTIVAL"]=24;</v>
      </c>
      <c r="T33" t="str">
        <f t="shared" si="9"/>
        <v/>
      </c>
    </row>
    <row r="34" spans="2:20" x14ac:dyDescent="0.25">
      <c r="C34" t="s">
        <v>239</v>
      </c>
      <c r="D34">
        <v>1879536638</v>
      </c>
      <c r="G34">
        <v>24</v>
      </c>
      <c r="L34" t="str">
        <f t="shared" si="1"/>
        <v>[33]={[2]={["HARVESTMATH_FESTIVAL"]=24;};[1]=1879536638;}; -- Caparison of the Midnight Raven</v>
      </c>
      <c r="M34" t="str">
        <f t="shared" si="2"/>
        <v>[33]={[1]="DIVIDER1"; [2]={["ENGLISH"] = ""; }; };</v>
      </c>
      <c r="N34" t="str">
        <f t="shared" si="3"/>
        <v>[33]={[1]="DIVIDER2"; [2]={["ENGLISH"] = ""; }; };</v>
      </c>
      <c r="O34" t="str">
        <f t="shared" si="4"/>
        <v/>
      </c>
      <c r="P34" t="str">
        <f t="shared" si="5"/>
        <v>[1]=1879536638;</v>
      </c>
      <c r="Q34" t="str">
        <f t="shared" si="6"/>
        <v/>
      </c>
      <c r="R34" t="str">
        <f t="shared" si="7"/>
        <v>[2]={["HARVESTMATH_FESTIVAL"]=24;};</v>
      </c>
      <c r="S34" t="str">
        <f t="shared" si="8"/>
        <v>["HARVESTMATH_FESTIVAL"]=24;</v>
      </c>
      <c r="T34" t="str">
        <f t="shared" si="9"/>
        <v/>
      </c>
    </row>
    <row r="35" spans="2:20" x14ac:dyDescent="0.25">
      <c r="C35" t="s">
        <v>240</v>
      </c>
      <c r="D35">
        <v>1879536635</v>
      </c>
      <c r="G35">
        <v>24</v>
      </c>
      <c r="L35" t="str">
        <f t="shared" si="1"/>
        <v>[34]={[2]={["HARVESTMATH_FESTIVAL"]=24;};[1]=1879536635;}; -- Head-piece of the Midnight Raven</v>
      </c>
      <c r="M35" t="str">
        <f t="shared" si="2"/>
        <v>[34]={[1]="DIVIDER1"; [2]={["ENGLISH"] = ""; }; };</v>
      </c>
      <c r="N35" t="str">
        <f t="shared" si="3"/>
        <v>[34]={[1]="DIVIDER2"; [2]={["ENGLISH"] = ""; }; };</v>
      </c>
      <c r="O35" t="str">
        <f t="shared" si="4"/>
        <v/>
      </c>
      <c r="P35" t="str">
        <f t="shared" si="5"/>
        <v>[1]=1879536635;</v>
      </c>
      <c r="Q35" t="str">
        <f t="shared" si="6"/>
        <v/>
      </c>
      <c r="R35" t="str">
        <f t="shared" si="7"/>
        <v>[2]={["HARVESTMATH_FESTIVAL"]=24;};</v>
      </c>
      <c r="S35" t="str">
        <f t="shared" si="8"/>
        <v>["HARVESTMATH_FESTIVAL"]=24;</v>
      </c>
      <c r="T35" t="str">
        <f t="shared" si="9"/>
        <v/>
      </c>
    </row>
    <row r="36" spans="2:20" x14ac:dyDescent="0.25">
      <c r="C36" t="s">
        <v>241</v>
      </c>
      <c r="D36">
        <v>1879536637</v>
      </c>
      <c r="G36">
        <v>18</v>
      </c>
      <c r="L36" t="str">
        <f t="shared" si="1"/>
        <v>[35]={[2]={["HARVESTMATH_FESTIVAL"]=18;};[1]=1879536637;}; -- Leg-guards of the Midnight Raven</v>
      </c>
      <c r="M36" t="str">
        <f t="shared" si="2"/>
        <v>[35]={[1]="DIVIDER1"; [2]={["ENGLISH"] = ""; }; };</v>
      </c>
      <c r="N36" t="str">
        <f t="shared" si="3"/>
        <v>[35]={[1]="DIVIDER2"; [2]={["ENGLISH"] = ""; }; };</v>
      </c>
      <c r="O36" t="str">
        <f t="shared" si="4"/>
        <v/>
      </c>
      <c r="P36" t="str">
        <f t="shared" si="5"/>
        <v>[1]=1879536637;</v>
      </c>
      <c r="Q36" t="str">
        <f t="shared" si="6"/>
        <v/>
      </c>
      <c r="R36" t="str">
        <f t="shared" si="7"/>
        <v>[2]={["HARVESTMATH_FESTIVAL"]=18;};</v>
      </c>
      <c r="S36" t="str">
        <f t="shared" si="8"/>
        <v>["HARVESTMATH_FESTIVAL"]=18;</v>
      </c>
      <c r="T36" t="str">
        <f t="shared" si="9"/>
        <v/>
      </c>
    </row>
    <row r="37" spans="2:20" x14ac:dyDescent="0.25">
      <c r="C37" t="s">
        <v>25</v>
      </c>
      <c r="D37">
        <v>1879517201</v>
      </c>
      <c r="G37">
        <v>60</v>
      </c>
      <c r="L37" t="str">
        <f t="shared" si="1"/>
        <v>[36]={[2]={["HARVESTMATH_FESTIVAL"]=60;};[1]=1879517201;}; -- Fall Hobby-broom</v>
      </c>
      <c r="M37" t="str">
        <f t="shared" si="2"/>
        <v>[36]={[1]="DIVIDER1"; [2]={["ENGLISH"] = ""; }; };</v>
      </c>
      <c r="N37" t="str">
        <f t="shared" si="3"/>
        <v>[36]={[1]="DIVIDER2"; [2]={["ENGLISH"] = ""; }; };</v>
      </c>
      <c r="O37" t="str">
        <f t="shared" si="4"/>
        <v/>
      </c>
      <c r="P37" t="str">
        <f t="shared" si="5"/>
        <v>[1]=1879517201;</v>
      </c>
      <c r="Q37" t="str">
        <f t="shared" si="6"/>
        <v/>
      </c>
      <c r="R37" t="str">
        <f t="shared" si="7"/>
        <v>[2]={["HARVESTMATH_FESTIVAL"]=60;};</v>
      </c>
      <c r="S37" t="str">
        <f t="shared" si="8"/>
        <v>["HARVESTMATH_FESTIVAL"]=60;</v>
      </c>
      <c r="T37" t="str">
        <f t="shared" si="9"/>
        <v/>
      </c>
    </row>
    <row r="38" spans="2:20" x14ac:dyDescent="0.25">
      <c r="C38" t="s">
        <v>38</v>
      </c>
      <c r="D38">
        <v>1879470559</v>
      </c>
      <c r="G38">
        <v>60</v>
      </c>
      <c r="L38" t="str">
        <f t="shared" si="1"/>
        <v>[37]={[2]={["HARVESTMATH_FESTIVAL"]=60;};[1]=1879470559;}; -- Elk of the Forest-spirit</v>
      </c>
      <c r="M38" t="str">
        <f t="shared" si="2"/>
        <v>[37]={[1]="DIVIDER1"; [2]={["ENGLISH"] = ""; }; };</v>
      </c>
      <c r="N38" t="str">
        <f t="shared" si="3"/>
        <v>[37]={[1]="DIVIDER2"; [2]={["ENGLISH"] = ""; }; };</v>
      </c>
      <c r="O38" t="str">
        <f t="shared" si="4"/>
        <v/>
      </c>
      <c r="P38" t="str">
        <f t="shared" si="5"/>
        <v>[1]=1879470559;</v>
      </c>
      <c r="Q38" t="str">
        <f t="shared" si="6"/>
        <v/>
      </c>
      <c r="R38" t="str">
        <f t="shared" si="7"/>
        <v>[2]={["HARVESTMATH_FESTIVAL"]=60;};</v>
      </c>
      <c r="S38" t="str">
        <f t="shared" si="8"/>
        <v>["HARVESTMATH_FESTIVAL"]=60;</v>
      </c>
      <c r="T38" t="str">
        <f t="shared" si="9"/>
        <v/>
      </c>
    </row>
    <row r="39" spans="2:20" x14ac:dyDescent="0.25">
      <c r="C39" t="s">
        <v>39</v>
      </c>
      <c r="D39">
        <v>1879412855</v>
      </c>
      <c r="G39">
        <v>24</v>
      </c>
      <c r="L39" t="str">
        <f t="shared" si="1"/>
        <v>[38]={[2]={["HARVESTMATH_FESTIVAL"]=24;};[1]=1879412855;}; -- Caparison of the Autumn Sage's Bearance</v>
      </c>
      <c r="M39" t="str">
        <f t="shared" si="2"/>
        <v>[38]={[1]="DIVIDER1"; [2]={["ENGLISH"] = ""; }; };</v>
      </c>
      <c r="N39" t="str">
        <f t="shared" si="3"/>
        <v>[38]={[1]="DIVIDER2"; [2]={["ENGLISH"] = ""; }; };</v>
      </c>
      <c r="O39" t="str">
        <f t="shared" si="4"/>
        <v/>
      </c>
      <c r="P39" t="str">
        <f t="shared" si="5"/>
        <v>[1]=1879412855;</v>
      </c>
      <c r="Q39" t="str">
        <f t="shared" si="6"/>
        <v/>
      </c>
      <c r="R39" t="str">
        <f t="shared" si="7"/>
        <v>[2]={["HARVESTMATH_FESTIVAL"]=24;};</v>
      </c>
      <c r="S39" t="str">
        <f t="shared" si="8"/>
        <v>["HARVESTMATH_FESTIVAL"]=24;</v>
      </c>
      <c r="T39" t="str">
        <f t="shared" si="9"/>
        <v/>
      </c>
    </row>
    <row r="40" spans="2:20" x14ac:dyDescent="0.25">
      <c r="C40" t="s">
        <v>40</v>
      </c>
      <c r="D40">
        <v>1879412853</v>
      </c>
      <c r="G40">
        <v>24</v>
      </c>
      <c r="L40" t="str">
        <f t="shared" si="1"/>
        <v>[39]={[2]={["HARVESTMATH_FESTIVAL"]=24;};[1]=1879412853;}; -- Mask of the Autumn Sage's Bearance</v>
      </c>
      <c r="M40" t="str">
        <f t="shared" si="2"/>
        <v>[39]={[1]="DIVIDER1"; [2]={["ENGLISH"] = ""; }; };</v>
      </c>
      <c r="N40" t="str">
        <f t="shared" si="3"/>
        <v>[39]={[1]="DIVIDER2"; [2]={["ENGLISH"] = ""; }; };</v>
      </c>
      <c r="O40" t="str">
        <f t="shared" si="4"/>
        <v/>
      </c>
      <c r="P40" t="str">
        <f t="shared" si="5"/>
        <v>[1]=1879412853;</v>
      </c>
      <c r="Q40" t="str">
        <f t="shared" si="6"/>
        <v/>
      </c>
      <c r="R40" t="str">
        <f t="shared" si="7"/>
        <v>[2]={["HARVESTMATH_FESTIVAL"]=24;};</v>
      </c>
      <c r="S40" t="str">
        <f t="shared" si="8"/>
        <v>["HARVESTMATH_FESTIVAL"]=24;</v>
      </c>
      <c r="T40" t="str">
        <f t="shared" si="9"/>
        <v/>
      </c>
    </row>
    <row r="41" spans="2:20" x14ac:dyDescent="0.25">
      <c r="C41" t="s">
        <v>41</v>
      </c>
      <c r="D41">
        <v>1879412858</v>
      </c>
      <c r="G41">
        <v>24</v>
      </c>
      <c r="L41" t="str">
        <f t="shared" si="1"/>
        <v>[40]={[2]={["HARVESTMATH_FESTIVAL"]=24;};[1]=1879412858;}; -- Saddle of the Autumn Sage's Bearance</v>
      </c>
      <c r="M41" t="str">
        <f t="shared" si="2"/>
        <v>[40]={[1]="DIVIDER1"; [2]={["ENGLISH"] = ""; }; };</v>
      </c>
      <c r="N41" t="str">
        <f t="shared" si="3"/>
        <v>[40]={[1]="DIVIDER2"; [2]={["ENGLISH"] = ""; }; };</v>
      </c>
      <c r="O41" t="str">
        <f t="shared" si="4"/>
        <v/>
      </c>
      <c r="P41" t="str">
        <f t="shared" si="5"/>
        <v>[1]=1879412858;</v>
      </c>
      <c r="Q41" t="str">
        <f t="shared" si="6"/>
        <v/>
      </c>
      <c r="R41" t="str">
        <f t="shared" si="7"/>
        <v>[2]={["HARVESTMATH_FESTIVAL"]=24;};</v>
      </c>
      <c r="S41" t="str">
        <f t="shared" si="8"/>
        <v>["HARVESTMATH_FESTIVAL"]=24;</v>
      </c>
      <c r="T41" t="str">
        <f t="shared" si="9"/>
        <v/>
      </c>
    </row>
    <row r="42" spans="2:20" x14ac:dyDescent="0.25">
      <c r="C42" t="s">
        <v>42</v>
      </c>
      <c r="D42">
        <v>1879412852</v>
      </c>
      <c r="G42">
        <v>60</v>
      </c>
      <c r="L42" t="str">
        <f t="shared" si="1"/>
        <v>[41]={[2]={["HARVESTMATH_FESTIVAL"]=60;};[1]=1879412852;}; -- Steed of the Autumn Sage</v>
      </c>
      <c r="M42" t="str">
        <f t="shared" si="2"/>
        <v>[41]={[1]="DIVIDER1"; [2]={["ENGLISH"] = ""; }; };</v>
      </c>
      <c r="N42" t="str">
        <f t="shared" si="3"/>
        <v>[41]={[1]="DIVIDER2"; [2]={["ENGLISH"] = ""; }; };</v>
      </c>
      <c r="O42" t="str">
        <f t="shared" si="4"/>
        <v/>
      </c>
      <c r="P42" t="str">
        <f t="shared" si="5"/>
        <v>[1]=1879412852;</v>
      </c>
      <c r="Q42" t="str">
        <f t="shared" si="6"/>
        <v/>
      </c>
      <c r="R42" t="str">
        <f t="shared" si="7"/>
        <v>[2]={["HARVESTMATH_FESTIVAL"]=60;};</v>
      </c>
      <c r="S42" t="str">
        <f t="shared" si="8"/>
        <v>["HARVESTMATH_FESTIVAL"]=60;</v>
      </c>
      <c r="T42" t="str">
        <f t="shared" si="9"/>
        <v/>
      </c>
    </row>
    <row r="43" spans="2:20" x14ac:dyDescent="0.25">
      <c r="C43" t="s">
        <v>43</v>
      </c>
      <c r="D43">
        <v>1879394566</v>
      </c>
      <c r="G43">
        <v>60</v>
      </c>
      <c r="L43" t="str">
        <f t="shared" si="1"/>
        <v>[42]={[2]={["HARVESTMATH_FESTIVAL"]=60;};[1]=1879394566;}; -- Steed of the Autumn Traveller</v>
      </c>
      <c r="M43" t="str">
        <f t="shared" si="2"/>
        <v>[42]={[1]="DIVIDER1"; [2]={["ENGLISH"] = ""; }; };</v>
      </c>
      <c r="N43" t="str">
        <f t="shared" si="3"/>
        <v>[42]={[1]="DIVIDER2"; [2]={["ENGLISH"] = ""; }; };</v>
      </c>
      <c r="O43" t="str">
        <f t="shared" si="4"/>
        <v/>
      </c>
      <c r="P43" t="str">
        <f t="shared" si="5"/>
        <v>[1]=1879394566;</v>
      </c>
      <c r="Q43" t="str">
        <f t="shared" si="6"/>
        <v/>
      </c>
      <c r="R43" t="str">
        <f t="shared" si="7"/>
        <v>[2]={["HARVESTMATH_FESTIVAL"]=60;};</v>
      </c>
      <c r="S43" t="str">
        <f t="shared" si="8"/>
        <v>["HARVESTMATH_FESTIVAL"]=60;</v>
      </c>
      <c r="T43" t="str">
        <f t="shared" si="9"/>
        <v/>
      </c>
    </row>
    <row r="44" spans="2:20" x14ac:dyDescent="0.25">
      <c r="B44" t="s">
        <v>14</v>
      </c>
      <c r="L44" t="str">
        <f t="shared" si="1"/>
        <v>[43]={[1]="DIVIDER2"; [2]={["ENGLISH"] = "Cosmetic Pets"; }; };</v>
      </c>
      <c r="M44" t="str">
        <f t="shared" si="2"/>
        <v>[43]={[1]="DIVIDER1"; [2]={["ENGLISH"] = ""; }; };</v>
      </c>
      <c r="N44" t="str">
        <f t="shared" si="3"/>
        <v>[43]={[1]="DIVIDER2"; [2]={["ENGLISH"] = "Cosmetic Pets"; }; };</v>
      </c>
      <c r="O44" t="str">
        <f t="shared" si="4"/>
        <v/>
      </c>
      <c r="P44" t="str">
        <f t="shared" si="5"/>
        <v>[1]=;</v>
      </c>
      <c r="Q44" t="str">
        <f t="shared" si="6"/>
        <v/>
      </c>
      <c r="R44" t="str">
        <f t="shared" si="7"/>
        <v>[2]={};</v>
      </c>
      <c r="S44" t="str">
        <f t="shared" si="8"/>
        <v/>
      </c>
      <c r="T44" t="str">
        <f t="shared" si="9"/>
        <v/>
      </c>
    </row>
    <row r="45" spans="2:20" x14ac:dyDescent="0.25">
      <c r="C45" t="s">
        <v>242</v>
      </c>
      <c r="D45">
        <v>1879536606</v>
      </c>
      <c r="G45">
        <v>40</v>
      </c>
      <c r="L45" t="str">
        <f t="shared" si="1"/>
        <v>[44]={[2]={["HARVESTMATH_FESTIVAL"]=40;};[1]=1879536606;}; -- Tome of the Midnight Raven</v>
      </c>
      <c r="M45" t="str">
        <f t="shared" si="2"/>
        <v>[44]={[1]="DIVIDER1"; [2]={["ENGLISH"] = ""; }; };</v>
      </c>
      <c r="N45" t="str">
        <f t="shared" si="3"/>
        <v>[44]={[1]="DIVIDER2"; [2]={["ENGLISH"] = ""; }; };</v>
      </c>
      <c r="O45" t="str">
        <f t="shared" si="4"/>
        <v/>
      </c>
      <c r="P45" t="str">
        <f t="shared" si="5"/>
        <v>[1]=1879536606;</v>
      </c>
      <c r="Q45" t="str">
        <f t="shared" si="6"/>
        <v/>
      </c>
      <c r="R45" t="str">
        <f t="shared" si="7"/>
        <v>[2]={["HARVESTMATH_FESTIVAL"]=40;};</v>
      </c>
      <c r="S45" t="str">
        <f t="shared" si="8"/>
        <v>["HARVESTMATH_FESTIVAL"]=40;</v>
      </c>
      <c r="T45" t="str">
        <f t="shared" si="9"/>
        <v/>
      </c>
    </row>
    <row r="46" spans="2:20" x14ac:dyDescent="0.25">
      <c r="C46" t="s">
        <v>242</v>
      </c>
      <c r="D46">
        <v>1879536606</v>
      </c>
      <c r="H46">
        <v>30</v>
      </c>
      <c r="L46" t="str">
        <f t="shared" si="1"/>
        <v>[45]={[2]={["GENERIC_MITHRIL"]=30;};[1]=1879536606;}; -- Tome of the Midnight Raven</v>
      </c>
      <c r="M46" t="str">
        <f t="shared" si="2"/>
        <v>[45]={[1]="DIVIDER1"; [2]={["ENGLISH"] = ""; }; };</v>
      </c>
      <c r="N46" t="str">
        <f t="shared" si="3"/>
        <v>[45]={[1]="DIVIDER2"; [2]={["ENGLISH"] = ""; }; };</v>
      </c>
      <c r="O46" t="str">
        <f t="shared" si="4"/>
        <v/>
      </c>
      <c r="P46" t="str">
        <f t="shared" si="5"/>
        <v>[1]=1879536606;</v>
      </c>
      <c r="Q46" t="str">
        <f t="shared" si="6"/>
        <v/>
      </c>
      <c r="R46" t="str">
        <f t="shared" si="7"/>
        <v>[2]={["GENERIC_MITHRIL"]=30;};</v>
      </c>
      <c r="S46" t="str">
        <f t="shared" si="8"/>
        <v/>
      </c>
      <c r="T46" t="str">
        <f t="shared" si="9"/>
        <v>["GENERIC_MITHRIL"]=30;</v>
      </c>
    </row>
    <row r="47" spans="2:20" x14ac:dyDescent="0.25">
      <c r="C47" t="s">
        <v>26</v>
      </c>
      <c r="D47">
        <v>1879516874</v>
      </c>
      <c r="G47">
        <v>40</v>
      </c>
      <c r="L47" t="str">
        <f t="shared" si="1"/>
        <v>[46]={[2]={["HARVESTMATH_FESTIVAL"]=40;};[1]=1879516874;}; -- Tome of the Pumpkin Huorn</v>
      </c>
      <c r="M47" t="str">
        <f t="shared" si="2"/>
        <v>[46]={[1]="DIVIDER1"; [2]={["ENGLISH"] = ""; }; };</v>
      </c>
      <c r="N47" t="str">
        <f t="shared" si="3"/>
        <v>[46]={[1]="DIVIDER2"; [2]={["ENGLISH"] = ""; }; };</v>
      </c>
      <c r="O47" t="str">
        <f t="shared" si="4"/>
        <v/>
      </c>
      <c r="P47" t="str">
        <f t="shared" si="5"/>
        <v>[1]=1879516874;</v>
      </c>
      <c r="Q47" t="str">
        <f t="shared" si="6"/>
        <v/>
      </c>
      <c r="R47" t="str">
        <f t="shared" si="7"/>
        <v>[2]={["HARVESTMATH_FESTIVAL"]=40;};</v>
      </c>
      <c r="S47" t="str">
        <f t="shared" si="8"/>
        <v>["HARVESTMATH_FESTIVAL"]=40;</v>
      </c>
      <c r="T47" t="str">
        <f t="shared" si="9"/>
        <v/>
      </c>
    </row>
    <row r="48" spans="2:20" x14ac:dyDescent="0.25">
      <c r="C48" t="s">
        <v>26</v>
      </c>
      <c r="D48">
        <v>1879516874</v>
      </c>
      <c r="H48">
        <v>30</v>
      </c>
      <c r="L48" t="str">
        <f t="shared" si="1"/>
        <v>[47]={[2]={["GENERIC_MITHRIL"]=30;};[1]=1879516874;}; -- Tome of the Pumpkin Huorn</v>
      </c>
      <c r="M48" t="str">
        <f t="shared" si="2"/>
        <v>[47]={[1]="DIVIDER1"; [2]={["ENGLISH"] = ""; }; };</v>
      </c>
      <c r="N48" t="str">
        <f t="shared" si="3"/>
        <v>[47]={[1]="DIVIDER2"; [2]={["ENGLISH"] = ""; }; };</v>
      </c>
      <c r="O48" t="str">
        <f t="shared" si="4"/>
        <v/>
      </c>
      <c r="P48" t="str">
        <f t="shared" si="5"/>
        <v>[1]=1879516874;</v>
      </c>
      <c r="Q48" t="str">
        <f t="shared" si="6"/>
        <v/>
      </c>
      <c r="R48" t="str">
        <f t="shared" si="7"/>
        <v>[2]={["GENERIC_MITHRIL"]=30;};</v>
      </c>
      <c r="S48" t="str">
        <f t="shared" si="8"/>
        <v/>
      </c>
      <c r="T48" t="str">
        <f t="shared" si="9"/>
        <v>["GENERIC_MITHRIL"]=30;</v>
      </c>
    </row>
    <row r="49" spans="3:20" x14ac:dyDescent="0.25">
      <c r="C49" t="s">
        <v>27</v>
      </c>
      <c r="D49">
        <v>1879463033</v>
      </c>
      <c r="G49">
        <v>40</v>
      </c>
      <c r="L49" t="str">
        <f t="shared" si="1"/>
        <v>[48]={[2]={["HARVESTMATH_FESTIVAL"]=40;};[1]=1879463033;}; -- Tome of the Autumn Aurochs</v>
      </c>
      <c r="M49" t="str">
        <f t="shared" si="2"/>
        <v>[48]={[1]="DIVIDER1"; [2]={["ENGLISH"] = ""; }; };</v>
      </c>
      <c r="N49" t="str">
        <f t="shared" si="3"/>
        <v>[48]={[1]="DIVIDER2"; [2]={["ENGLISH"] = ""; }; };</v>
      </c>
      <c r="O49" t="str">
        <f t="shared" si="4"/>
        <v/>
      </c>
      <c r="P49" t="str">
        <f t="shared" si="5"/>
        <v>[1]=1879463033;</v>
      </c>
      <c r="Q49" t="str">
        <f t="shared" si="6"/>
        <v/>
      </c>
      <c r="R49" t="str">
        <f t="shared" si="7"/>
        <v>[2]={["HARVESTMATH_FESTIVAL"]=40;};</v>
      </c>
      <c r="S49" t="str">
        <f t="shared" si="8"/>
        <v>["HARVESTMATH_FESTIVAL"]=40;</v>
      </c>
      <c r="T49" t="str">
        <f t="shared" si="9"/>
        <v/>
      </c>
    </row>
    <row r="50" spans="3:20" x14ac:dyDescent="0.25">
      <c r="C50" t="s">
        <v>44</v>
      </c>
      <c r="D50">
        <v>1879493469</v>
      </c>
      <c r="G50">
        <v>40</v>
      </c>
      <c r="L50" t="str">
        <f t="shared" si="1"/>
        <v>[49]={[2]={["HARVESTMATH_FESTIVAL"]=40;};[1]=1879493469;}; -- Tome of the Ghostly Cat</v>
      </c>
      <c r="M50" t="str">
        <f t="shared" si="2"/>
        <v>[49]={[1]="DIVIDER1"; [2]={["ENGLISH"] = ""; }; };</v>
      </c>
      <c r="N50" t="str">
        <f t="shared" si="3"/>
        <v>[49]={[1]="DIVIDER2"; [2]={["ENGLISH"] = ""; }; };</v>
      </c>
      <c r="O50" t="str">
        <f t="shared" si="4"/>
        <v/>
      </c>
      <c r="P50" t="str">
        <f t="shared" si="5"/>
        <v>[1]=1879493469;</v>
      </c>
      <c r="Q50" t="str">
        <f t="shared" si="6"/>
        <v/>
      </c>
      <c r="R50" t="str">
        <f t="shared" si="7"/>
        <v>[2]={["HARVESTMATH_FESTIVAL"]=40;};</v>
      </c>
      <c r="S50" t="str">
        <f t="shared" si="8"/>
        <v>["HARVESTMATH_FESTIVAL"]=40;</v>
      </c>
      <c r="T50" t="str">
        <f t="shared" si="9"/>
        <v/>
      </c>
    </row>
    <row r="51" spans="3:20" x14ac:dyDescent="0.25">
      <c r="C51" t="s">
        <v>44</v>
      </c>
      <c r="D51">
        <v>1879493469</v>
      </c>
      <c r="H51">
        <v>30</v>
      </c>
      <c r="L51" t="str">
        <f t="shared" si="1"/>
        <v>[50]={[2]={["GENERIC_MITHRIL"]=30;};[1]=1879493469;}; -- Tome of the Ghostly Cat</v>
      </c>
      <c r="M51" t="str">
        <f t="shared" si="2"/>
        <v>[50]={[1]="DIVIDER1"; [2]={["ENGLISH"] = ""; }; };</v>
      </c>
      <c r="N51" t="str">
        <f t="shared" si="3"/>
        <v>[50]={[1]="DIVIDER2"; [2]={["ENGLISH"] = ""; }; };</v>
      </c>
      <c r="O51" t="str">
        <f t="shared" si="4"/>
        <v/>
      </c>
      <c r="P51" t="str">
        <f t="shared" si="5"/>
        <v>[1]=1879493469;</v>
      </c>
      <c r="Q51" t="str">
        <f t="shared" si="6"/>
        <v/>
      </c>
      <c r="R51" t="str">
        <f t="shared" si="7"/>
        <v>[2]={["GENERIC_MITHRIL"]=30;};</v>
      </c>
      <c r="S51" t="str">
        <f t="shared" si="8"/>
        <v/>
      </c>
      <c r="T51" t="str">
        <f t="shared" si="9"/>
        <v>["GENERIC_MITHRIL"]=30;</v>
      </c>
    </row>
    <row r="52" spans="3:20" x14ac:dyDescent="0.25">
      <c r="C52" t="s">
        <v>45</v>
      </c>
      <c r="D52">
        <v>1879493471</v>
      </c>
      <c r="G52">
        <v>40</v>
      </c>
      <c r="L52" t="str">
        <f t="shared" si="1"/>
        <v>[51]={[2]={["HARVESTMATH_FESTIVAL"]=40;};[1]=1879493471;}; -- Tome of the Windfell Owl</v>
      </c>
      <c r="M52" t="str">
        <f t="shared" si="2"/>
        <v>[51]={[1]="DIVIDER1"; [2]={["ENGLISH"] = ""; }; };</v>
      </c>
      <c r="N52" t="str">
        <f t="shared" si="3"/>
        <v>[51]={[1]="DIVIDER2"; [2]={["ENGLISH"] = ""; }; };</v>
      </c>
      <c r="O52" t="str">
        <f t="shared" si="4"/>
        <v/>
      </c>
      <c r="P52" t="str">
        <f t="shared" si="5"/>
        <v>[1]=1879493471;</v>
      </c>
      <c r="Q52" t="str">
        <f t="shared" si="6"/>
        <v/>
      </c>
      <c r="R52" t="str">
        <f t="shared" si="7"/>
        <v>[2]={["HARVESTMATH_FESTIVAL"]=40;};</v>
      </c>
      <c r="S52" t="str">
        <f t="shared" si="8"/>
        <v>["HARVESTMATH_FESTIVAL"]=40;</v>
      </c>
      <c r="T52" t="str">
        <f t="shared" si="9"/>
        <v/>
      </c>
    </row>
    <row r="53" spans="3:20" x14ac:dyDescent="0.25">
      <c r="C53" t="s">
        <v>46</v>
      </c>
      <c r="D53">
        <v>1879470568</v>
      </c>
      <c r="G53">
        <v>40</v>
      </c>
      <c r="L53" t="str">
        <f t="shared" si="1"/>
        <v>[52]={[2]={["HARVESTMATH_FESTIVAL"]=40;};[1]=1879470568;}; -- Tome of the Forest-spirit Goat</v>
      </c>
      <c r="M53" t="str">
        <f t="shared" si="2"/>
        <v>[52]={[1]="DIVIDER1"; [2]={["ENGLISH"] = ""; }; };</v>
      </c>
      <c r="N53" t="str">
        <f t="shared" si="3"/>
        <v>[52]={[1]="DIVIDER2"; [2]={["ENGLISH"] = ""; }; };</v>
      </c>
      <c r="O53" t="str">
        <f t="shared" si="4"/>
        <v/>
      </c>
      <c r="P53" t="str">
        <f t="shared" si="5"/>
        <v>[1]=1879470568;</v>
      </c>
      <c r="Q53" t="str">
        <f t="shared" si="6"/>
        <v/>
      </c>
      <c r="R53" t="str">
        <f t="shared" si="7"/>
        <v>[2]={["HARVESTMATH_FESTIVAL"]=40;};</v>
      </c>
      <c r="S53" t="str">
        <f t="shared" si="8"/>
        <v>["HARVESTMATH_FESTIVAL"]=40;</v>
      </c>
      <c r="T53" t="str">
        <f t="shared" si="9"/>
        <v/>
      </c>
    </row>
    <row r="54" spans="3:20" x14ac:dyDescent="0.25">
      <c r="C54" t="s">
        <v>47</v>
      </c>
      <c r="D54">
        <v>1879338918</v>
      </c>
      <c r="G54">
        <v>40</v>
      </c>
      <c r="L54" t="str">
        <f t="shared" si="1"/>
        <v>[53]={[2]={["HARVESTMATH_FESTIVAL"]=40;};[1]=1879338918;}; -- Tome of the Brown Bat</v>
      </c>
      <c r="M54" t="str">
        <f t="shared" si="2"/>
        <v>[53]={[1]="DIVIDER1"; [2]={["ENGLISH"] = ""; }; };</v>
      </c>
      <c r="N54" t="str">
        <f t="shared" si="3"/>
        <v>[53]={[1]="DIVIDER2"; [2]={["ENGLISH"] = ""; }; };</v>
      </c>
      <c r="O54" t="str">
        <f t="shared" si="4"/>
        <v/>
      </c>
      <c r="P54" t="str">
        <f t="shared" si="5"/>
        <v>[1]=1879338918;</v>
      </c>
      <c r="Q54" t="str">
        <f t="shared" si="6"/>
        <v/>
      </c>
      <c r="R54" t="str">
        <f t="shared" si="7"/>
        <v>[2]={["HARVESTMATH_FESTIVAL"]=40;};</v>
      </c>
      <c r="S54" t="str">
        <f t="shared" si="8"/>
        <v>["HARVESTMATH_FESTIVAL"]=40;</v>
      </c>
      <c r="T54" t="str">
        <f t="shared" si="9"/>
        <v/>
      </c>
    </row>
    <row r="55" spans="3:20" x14ac:dyDescent="0.25">
      <c r="C55" t="s">
        <v>48</v>
      </c>
      <c r="D55">
        <v>1879339331</v>
      </c>
      <c r="G55">
        <v>40</v>
      </c>
      <c r="L55" t="str">
        <f t="shared" si="1"/>
        <v>[54]={[2]={["HARVESTMATH_FESTIVAL"]=40;};[1]=1879339331;}; -- Tome of the Leaf-fall Kite</v>
      </c>
      <c r="M55" t="str">
        <f t="shared" si="2"/>
        <v>[54]={[1]="DIVIDER1"; [2]={["ENGLISH"] = ""; }; };</v>
      </c>
      <c r="N55" t="str">
        <f t="shared" si="3"/>
        <v>[54]={[1]="DIVIDER2"; [2]={["ENGLISH"] = ""; }; };</v>
      </c>
      <c r="O55" t="str">
        <f t="shared" si="4"/>
        <v/>
      </c>
      <c r="P55" t="str">
        <f t="shared" si="5"/>
        <v>[1]=1879339331;</v>
      </c>
      <c r="Q55" t="str">
        <f t="shared" si="6"/>
        <v/>
      </c>
      <c r="R55" t="str">
        <f t="shared" si="7"/>
        <v>[2]={["HARVESTMATH_FESTIVAL"]=40;};</v>
      </c>
      <c r="S55" t="str">
        <f t="shared" si="8"/>
        <v>["HARVESTMATH_FESTIVAL"]=40;</v>
      </c>
      <c r="T55" t="str">
        <f t="shared" si="9"/>
        <v/>
      </c>
    </row>
    <row r="56" spans="3:20" x14ac:dyDescent="0.25">
      <c r="C56" t="s">
        <v>49</v>
      </c>
      <c r="D56">
        <v>1879339324</v>
      </c>
      <c r="G56">
        <v>40</v>
      </c>
      <c r="L56" t="str">
        <f t="shared" si="1"/>
        <v>[55]={[2]={["HARVESTMATH_FESTIVAL"]=40;};[1]=1879339324;}; -- Tome of the Oaken Kite</v>
      </c>
      <c r="M56" t="str">
        <f t="shared" si="2"/>
        <v>[55]={[1]="DIVIDER1"; [2]={["ENGLISH"] = ""; }; };</v>
      </c>
      <c r="N56" t="str">
        <f t="shared" si="3"/>
        <v>[55]={[1]="DIVIDER2"; [2]={["ENGLISH"] = ""; }; };</v>
      </c>
      <c r="O56" t="str">
        <f t="shared" si="4"/>
        <v/>
      </c>
      <c r="P56" t="str">
        <f t="shared" si="5"/>
        <v>[1]=1879339324;</v>
      </c>
      <c r="Q56" t="str">
        <f t="shared" si="6"/>
        <v/>
      </c>
      <c r="R56" t="str">
        <f t="shared" si="7"/>
        <v>[2]={["HARVESTMATH_FESTIVAL"]=40;};</v>
      </c>
      <c r="S56" t="str">
        <f t="shared" si="8"/>
        <v>["HARVESTMATH_FESTIVAL"]=40;</v>
      </c>
      <c r="T56" t="str">
        <f t="shared" si="9"/>
        <v/>
      </c>
    </row>
    <row r="57" spans="3:20" x14ac:dyDescent="0.25">
      <c r="C57" t="s">
        <v>50</v>
      </c>
      <c r="D57">
        <v>1879361465</v>
      </c>
      <c r="G57">
        <v>40</v>
      </c>
      <c r="L57" t="str">
        <f t="shared" si="1"/>
        <v>[56]={[2]={["HARVESTMATH_FESTIVAL"]=40;};[1]=1879361465;}; -- Tome of the Gourd-lurker</v>
      </c>
      <c r="M57" t="str">
        <f t="shared" si="2"/>
        <v>[56]={[1]="DIVIDER1"; [2]={["ENGLISH"] = ""; }; };</v>
      </c>
      <c r="N57" t="str">
        <f t="shared" si="3"/>
        <v>[56]={[1]="DIVIDER2"; [2]={["ENGLISH"] = ""; }; };</v>
      </c>
      <c r="O57" t="str">
        <f t="shared" si="4"/>
        <v/>
      </c>
      <c r="P57" t="str">
        <f t="shared" si="5"/>
        <v>[1]=1879361465;</v>
      </c>
      <c r="Q57" t="str">
        <f t="shared" si="6"/>
        <v/>
      </c>
      <c r="R57" t="str">
        <f t="shared" si="7"/>
        <v>[2]={["HARVESTMATH_FESTIVAL"]=40;};</v>
      </c>
      <c r="S57" t="str">
        <f t="shared" si="8"/>
        <v>["HARVESTMATH_FESTIVAL"]=40;</v>
      </c>
      <c r="T57" t="str">
        <f t="shared" si="9"/>
        <v/>
      </c>
    </row>
    <row r="58" spans="3:20" x14ac:dyDescent="0.25">
      <c r="C58" t="s">
        <v>51</v>
      </c>
      <c r="D58">
        <v>1879381815</v>
      </c>
      <c r="G58">
        <v>40</v>
      </c>
      <c r="L58" t="str">
        <f t="shared" si="1"/>
        <v>[57]={[2]={["HARVESTMATH_FESTIVAL"]=40;};[1]=1879381815;}; -- Tome of the Black Cat</v>
      </c>
      <c r="M58" t="str">
        <f t="shared" si="2"/>
        <v>[57]={[1]="DIVIDER1"; [2]={["ENGLISH"] = ""; }; };</v>
      </c>
      <c r="N58" t="str">
        <f t="shared" si="3"/>
        <v>[57]={[1]="DIVIDER2"; [2]={["ENGLISH"] = ""; }; };</v>
      </c>
      <c r="O58" t="str">
        <f t="shared" si="4"/>
        <v/>
      </c>
      <c r="P58" t="str">
        <f t="shared" si="5"/>
        <v>[1]=1879381815;</v>
      </c>
      <c r="Q58" t="str">
        <f t="shared" si="6"/>
        <v/>
      </c>
      <c r="R58" t="str">
        <f t="shared" si="7"/>
        <v>[2]={["HARVESTMATH_FESTIVAL"]=40;};</v>
      </c>
      <c r="S58" t="str">
        <f t="shared" si="8"/>
        <v>["HARVESTMATH_FESTIVAL"]=40;</v>
      </c>
      <c r="T58" t="str">
        <f t="shared" si="9"/>
        <v/>
      </c>
    </row>
    <row r="59" spans="3:20" x14ac:dyDescent="0.25">
      <c r="C59" t="s">
        <v>52</v>
      </c>
      <c r="D59">
        <v>1879394584</v>
      </c>
      <c r="G59">
        <v>40</v>
      </c>
      <c r="L59" t="str">
        <f t="shared" si="1"/>
        <v>[58]={[2]={["HARVESTMATH_FESTIVAL"]=40;};[1]=1879394584;}; -- Tome of the Badger</v>
      </c>
      <c r="M59" t="str">
        <f t="shared" si="2"/>
        <v>[58]={[1]="DIVIDER1"; [2]={["ENGLISH"] = ""; }; };</v>
      </c>
      <c r="N59" t="str">
        <f t="shared" si="3"/>
        <v>[58]={[1]="DIVIDER2"; [2]={["ENGLISH"] = ""; }; };</v>
      </c>
      <c r="O59" t="str">
        <f t="shared" si="4"/>
        <v/>
      </c>
      <c r="P59" t="str">
        <f t="shared" si="5"/>
        <v>[1]=1879394584;</v>
      </c>
      <c r="Q59" t="str">
        <f t="shared" si="6"/>
        <v/>
      </c>
      <c r="R59" t="str">
        <f t="shared" si="7"/>
        <v>[2]={["HARVESTMATH_FESTIVAL"]=40;};</v>
      </c>
      <c r="S59" t="str">
        <f t="shared" si="8"/>
        <v>["HARVESTMATH_FESTIVAL"]=40;</v>
      </c>
      <c r="T59" t="str">
        <f t="shared" si="9"/>
        <v/>
      </c>
    </row>
    <row r="60" spans="3:20" x14ac:dyDescent="0.25">
      <c r="C60" t="s">
        <v>53</v>
      </c>
      <c r="D60">
        <v>1879412826</v>
      </c>
      <c r="G60">
        <v>40</v>
      </c>
      <c r="L60" t="str">
        <f t="shared" si="1"/>
        <v>[59]={[2]={["HARVESTMATH_FESTIVAL"]=40;};[1]=1879412826;}; -- Tome of the Spooky Jackdaw</v>
      </c>
      <c r="M60" t="str">
        <f t="shared" si="2"/>
        <v>[59]={[1]="DIVIDER1"; [2]={["ENGLISH"] = ""; }; };</v>
      </c>
      <c r="N60" t="str">
        <f t="shared" si="3"/>
        <v>[59]={[1]="DIVIDER2"; [2]={["ENGLISH"] = ""; }; };</v>
      </c>
      <c r="O60" t="str">
        <f t="shared" si="4"/>
        <v/>
      </c>
      <c r="P60" t="str">
        <f t="shared" si="5"/>
        <v>[1]=1879412826;</v>
      </c>
      <c r="Q60" t="str">
        <f t="shared" si="6"/>
        <v/>
      </c>
      <c r="R60" t="str">
        <f t="shared" si="7"/>
        <v>[2]={["HARVESTMATH_FESTIVAL"]=40;};</v>
      </c>
      <c r="S60" t="str">
        <f t="shared" si="8"/>
        <v>["HARVESTMATH_FESTIVAL"]=40;</v>
      </c>
      <c r="T60" t="str">
        <f t="shared" si="9"/>
        <v/>
      </c>
    </row>
    <row r="61" spans="3:20" x14ac:dyDescent="0.25">
      <c r="C61" t="s">
        <v>54</v>
      </c>
      <c r="D61">
        <v>1879412834</v>
      </c>
      <c r="G61">
        <v>40</v>
      </c>
      <c r="L61" t="str">
        <f t="shared" si="1"/>
        <v>[60]={[2]={["HARVESTMATH_FESTIVAL"]=40;};[1]=1879412834;}; -- Tome of the Harbinger of the Sage's Storm</v>
      </c>
      <c r="M61" t="str">
        <f t="shared" si="2"/>
        <v>[60]={[1]="DIVIDER1"; [2]={["ENGLISH"] = ""; }; };</v>
      </c>
      <c r="N61" t="str">
        <f t="shared" si="3"/>
        <v>[60]={[1]="DIVIDER2"; [2]={["ENGLISH"] = ""; }; };</v>
      </c>
      <c r="O61" t="str">
        <f t="shared" si="4"/>
        <v/>
      </c>
      <c r="P61" t="str">
        <f t="shared" si="5"/>
        <v>[1]=1879412834;</v>
      </c>
      <c r="Q61" t="str">
        <f t="shared" si="6"/>
        <v/>
      </c>
      <c r="R61" t="str">
        <f t="shared" si="7"/>
        <v>[2]={["HARVESTMATH_FESTIVAL"]=40;};</v>
      </c>
      <c r="S61" t="str">
        <f t="shared" si="8"/>
        <v>["HARVESTMATH_FESTIVAL"]=40;</v>
      </c>
      <c r="T61" t="str">
        <f t="shared" si="9"/>
        <v/>
      </c>
    </row>
    <row r="62" spans="3:20" x14ac:dyDescent="0.25">
      <c r="C62" t="s">
        <v>55</v>
      </c>
      <c r="D62">
        <v>1879412828</v>
      </c>
      <c r="G62">
        <v>40</v>
      </c>
      <c r="L62" t="str">
        <f t="shared" si="1"/>
        <v>[61]={[2]={["HARVESTMATH_FESTIVAL"]=40;};[1]=1879412828;}; -- Tome of the Soot-feathered Crow</v>
      </c>
      <c r="M62" t="str">
        <f t="shared" si="2"/>
        <v>[61]={[1]="DIVIDER1"; [2]={["ENGLISH"] = ""; }; };</v>
      </c>
      <c r="N62" t="str">
        <f t="shared" si="3"/>
        <v>[61]={[1]="DIVIDER2"; [2]={["ENGLISH"] = ""; }; };</v>
      </c>
      <c r="O62" t="str">
        <f t="shared" si="4"/>
        <v/>
      </c>
      <c r="P62" t="str">
        <f t="shared" si="5"/>
        <v>[1]=1879412828;</v>
      </c>
      <c r="Q62" t="str">
        <f t="shared" si="6"/>
        <v/>
      </c>
      <c r="R62" t="str">
        <f t="shared" si="7"/>
        <v>[2]={["HARVESTMATH_FESTIVAL"]=40;};</v>
      </c>
      <c r="S62" t="str">
        <f t="shared" si="8"/>
        <v>["HARVESTMATH_FESTIVAL"]=40;</v>
      </c>
      <c r="T62" t="str">
        <f t="shared" si="9"/>
        <v/>
      </c>
    </row>
    <row r="63" spans="3:20" x14ac:dyDescent="0.25">
      <c r="C63" t="s">
        <v>56</v>
      </c>
      <c r="D63">
        <v>1879361467</v>
      </c>
      <c r="G63">
        <v>40</v>
      </c>
      <c r="L63" t="str">
        <f t="shared" si="1"/>
        <v>[62]={[2]={["HARVESTMATH_FESTIVAL"]=40;};[1]=1879361467;}; -- Tome of the Lantern Gourd-lurker</v>
      </c>
      <c r="M63" t="str">
        <f t="shared" si="2"/>
        <v>[62]={[1]="DIVIDER1"; [2]={["ENGLISH"] = ""; }; };</v>
      </c>
      <c r="N63" t="str">
        <f t="shared" si="3"/>
        <v>[62]={[1]="DIVIDER2"; [2]={["ENGLISH"] = ""; }; };</v>
      </c>
      <c r="O63" t="str">
        <f t="shared" si="4"/>
        <v/>
      </c>
      <c r="P63" t="str">
        <f t="shared" si="5"/>
        <v>[1]=1879361467;</v>
      </c>
      <c r="Q63" t="str">
        <f t="shared" si="6"/>
        <v/>
      </c>
      <c r="R63" t="str">
        <f t="shared" si="7"/>
        <v>[2]={["HARVESTMATH_FESTIVAL"]=40;};</v>
      </c>
      <c r="S63" t="str">
        <f t="shared" si="8"/>
        <v>["HARVESTMATH_FESTIVAL"]=40;</v>
      </c>
      <c r="T63" t="str">
        <f t="shared" si="9"/>
        <v/>
      </c>
    </row>
    <row r="64" spans="3:20" x14ac:dyDescent="0.25">
      <c r="C64" t="s">
        <v>57</v>
      </c>
      <c r="D64">
        <v>1879396938</v>
      </c>
      <c r="G64">
        <v>40</v>
      </c>
      <c r="L64" t="str">
        <f t="shared" si="1"/>
        <v>[63]={[2]={["HARVESTMATH_FESTIVAL"]=40;};[1]=1879396938;}; -- Tome of the Black Marble Wolf-dog</v>
      </c>
      <c r="M64" t="str">
        <f t="shared" si="2"/>
        <v>[63]={[1]="DIVIDER1"; [2]={["ENGLISH"] = ""; }; };</v>
      </c>
      <c r="N64" t="str">
        <f t="shared" si="3"/>
        <v>[63]={[1]="DIVIDER2"; [2]={["ENGLISH"] = ""; }; };</v>
      </c>
      <c r="O64" t="str">
        <f t="shared" si="4"/>
        <v/>
      </c>
      <c r="P64" t="str">
        <f t="shared" si="5"/>
        <v>[1]=1879396938;</v>
      </c>
      <c r="Q64" t="str">
        <f t="shared" si="6"/>
        <v/>
      </c>
      <c r="R64" t="str">
        <f t="shared" si="7"/>
        <v>[2]={["HARVESTMATH_FESTIVAL"]=40;};</v>
      </c>
      <c r="S64" t="str">
        <f t="shared" si="8"/>
        <v>["HARVESTMATH_FESTIVAL"]=40;</v>
      </c>
      <c r="T64" t="str">
        <f t="shared" si="9"/>
        <v/>
      </c>
    </row>
    <row r="65" spans="2:20" x14ac:dyDescent="0.25">
      <c r="C65" t="s">
        <v>58</v>
      </c>
      <c r="D65">
        <v>1879412830</v>
      </c>
      <c r="G65">
        <v>40</v>
      </c>
      <c r="L65" t="str">
        <f t="shared" si="1"/>
        <v>[64]={[2]={["HARVESTMATH_FESTIVAL"]=40;};[1]=1879412830;}; -- Tome of the Night Sky Craban</v>
      </c>
      <c r="M65" t="str">
        <f t="shared" si="2"/>
        <v>[64]={[1]="DIVIDER1"; [2]={["ENGLISH"] = ""; }; };</v>
      </c>
      <c r="N65" t="str">
        <f t="shared" si="3"/>
        <v>[64]={[1]="DIVIDER2"; [2]={["ENGLISH"] = ""; }; };</v>
      </c>
      <c r="O65" t="str">
        <f t="shared" si="4"/>
        <v/>
      </c>
      <c r="P65" t="str">
        <f t="shared" si="5"/>
        <v>[1]=1879412830;</v>
      </c>
      <c r="Q65" t="str">
        <f t="shared" si="6"/>
        <v/>
      </c>
      <c r="R65" t="str">
        <f t="shared" si="7"/>
        <v>[2]={["HARVESTMATH_FESTIVAL"]=40;};</v>
      </c>
      <c r="S65" t="str">
        <f t="shared" si="8"/>
        <v>["HARVESTMATH_FESTIVAL"]=40;</v>
      </c>
      <c r="T65" t="str">
        <f t="shared" si="9"/>
        <v/>
      </c>
    </row>
    <row r="66" spans="2:20" x14ac:dyDescent="0.25">
      <c r="B66" t="s">
        <v>6</v>
      </c>
      <c r="L66" t="str">
        <f t="shared" si="1"/>
        <v>[65]={[1]="DIVIDER2"; [2]={["ENGLISH"] = "Dyes"; }; };</v>
      </c>
      <c r="M66" t="str">
        <f t="shared" si="2"/>
        <v>[65]={[1]="DIVIDER1"; [2]={["ENGLISH"] = ""; }; };</v>
      </c>
      <c r="N66" t="str">
        <f t="shared" si="3"/>
        <v>[65]={[1]="DIVIDER2"; [2]={["ENGLISH"] = "Dyes"; }; };</v>
      </c>
      <c r="O66" t="str">
        <f t="shared" si="4"/>
        <v/>
      </c>
      <c r="P66" t="str">
        <f t="shared" si="5"/>
        <v>[1]=;</v>
      </c>
      <c r="Q66" t="str">
        <f t="shared" si="6"/>
        <v/>
      </c>
      <c r="R66" t="str">
        <f t="shared" si="7"/>
        <v>[2]={};</v>
      </c>
      <c r="S66" t="str">
        <f t="shared" si="8"/>
        <v/>
      </c>
      <c r="T66" t="str">
        <f t="shared" si="9"/>
        <v/>
      </c>
    </row>
    <row r="67" spans="2:20" x14ac:dyDescent="0.25">
      <c r="C67" t="s">
        <v>59</v>
      </c>
      <c r="D67">
        <v>1879329680</v>
      </c>
      <c r="F67">
        <v>6</v>
      </c>
      <c r="H67">
        <v>10</v>
      </c>
      <c r="L67" t="str">
        <f t="shared" ref="L67:L130" si="10">IF(
  NOT(ISBLANK(A67)),
  M67,
  IF(
    NOT(ISBLANK(B67)),
    N67,
    CONCATENATE("[",ROW()-1,"]={",Q67,R67,P67,"};"," -- ",C67)))</f>
        <v>[66]={[3]=6;[2]={["GENERIC_MITHRIL"]=10;};[1]=1879329680;}; -- 6 Imladris Fallen Leaf Dyes</v>
      </c>
      <c r="M67" t="str">
        <f t="shared" ref="M67:M130" si="11">CONCATENATE("[",ROW()-1,"]={[1]=""DIVIDER1""; [2]={[""ENGLISH""] = """,A67,"""; }; ",O67,"};")</f>
        <v>[66]={[1]="DIVIDER1"; [2]={["ENGLISH"] = ""; }; };</v>
      </c>
      <c r="N67" t="str">
        <f t="shared" ref="N67:N130" si="12">CONCATENATE("[",ROW()-1,"]={[1]=""DIVIDER2""; [2]={[""ENGLISH""] = """,B67,"""; }; ",O67,"};")</f>
        <v>[66]={[1]="DIVIDER2"; [2]={["ENGLISH"] = ""; }; };</v>
      </c>
      <c r="O67" t="str">
        <f t="shared" ref="O67:O130" si="13">IF(LEN(J67)&gt;0,CONCATENATE("[""DIVIDER_HEIGHT""] = ",J67,";"),"")</f>
        <v/>
      </c>
      <c r="P67" t="str">
        <f t="shared" ref="P67:P130" si="14">CONCATENATE("[1]=",D67,";")</f>
        <v>[1]=1879329680;</v>
      </c>
      <c r="Q67" t="str">
        <f t="shared" ref="Q67:Q130" si="15">IF(F67&gt;0,CONCATENATE("[3]=",F67,";"),"")</f>
        <v>[3]=6;</v>
      </c>
      <c r="R67" t="str">
        <f t="shared" ref="R67:R130" si="16">_xlfn.TEXTJOIN("",TRUE,"[2]={",S67:T67,"};")</f>
        <v>[2]={["GENERIC_MITHRIL"]=10;};</v>
      </c>
      <c r="S67" t="str">
        <f t="shared" ref="S67:S130" si="17">IF(G67&gt;0,CONCATENATE("[""",G$1,"""]=",G67,";"),"")</f>
        <v/>
      </c>
      <c r="T67" t="str">
        <f t="shared" ref="T67:T130" si="18">IF(H67&gt;0,CONCATENATE("[""",H$1,"""]=",H67,";"),"")</f>
        <v>["GENERIC_MITHRIL"]=10;</v>
      </c>
    </row>
    <row r="68" spans="2:20" x14ac:dyDescent="0.25">
      <c r="C68" t="s">
        <v>60</v>
      </c>
      <c r="D68">
        <v>1879329688</v>
      </c>
      <c r="F68">
        <v>6</v>
      </c>
      <c r="H68">
        <v>10</v>
      </c>
      <c r="L68" t="str">
        <f t="shared" si="10"/>
        <v>[67]={[3]=6;[2]={["GENERIC_MITHRIL"]=10;};[1]=1879329688;}; -- 6 Ashenslades Green Dyes</v>
      </c>
      <c r="M68" t="str">
        <f t="shared" si="11"/>
        <v>[67]={[1]="DIVIDER1"; [2]={["ENGLISH"] = ""; }; };</v>
      </c>
      <c r="N68" t="str">
        <f t="shared" si="12"/>
        <v>[67]={[1]="DIVIDER2"; [2]={["ENGLISH"] = ""; }; };</v>
      </c>
      <c r="O68" t="str">
        <f t="shared" si="13"/>
        <v/>
      </c>
      <c r="P68" t="str">
        <f t="shared" si="14"/>
        <v>[1]=1879329688;</v>
      </c>
      <c r="Q68" t="str">
        <f t="shared" si="15"/>
        <v>[3]=6;</v>
      </c>
      <c r="R68" t="str">
        <f t="shared" si="16"/>
        <v>[2]={["GENERIC_MITHRIL"]=10;};</v>
      </c>
      <c r="S68" t="str">
        <f t="shared" si="17"/>
        <v/>
      </c>
      <c r="T68" t="str">
        <f t="shared" si="18"/>
        <v>["GENERIC_MITHRIL"]=10;</v>
      </c>
    </row>
    <row r="69" spans="2:20" x14ac:dyDescent="0.25">
      <c r="C69" t="s">
        <v>61</v>
      </c>
      <c r="D69">
        <v>1879337947</v>
      </c>
      <c r="F69">
        <v>6</v>
      </c>
      <c r="G69">
        <v>20</v>
      </c>
      <c r="L69" t="str">
        <f t="shared" si="10"/>
        <v>[68]={[3]=6;[2]={["HARVESTMATH_FESTIVAL"]=20;};[1]=1879337947;}; -- 6 Autumn Leaf Dyes</v>
      </c>
      <c r="M69" t="str">
        <f t="shared" si="11"/>
        <v>[68]={[1]="DIVIDER1"; [2]={["ENGLISH"] = ""; }; };</v>
      </c>
      <c r="N69" t="str">
        <f t="shared" si="12"/>
        <v>[68]={[1]="DIVIDER2"; [2]={["ENGLISH"] = ""; }; };</v>
      </c>
      <c r="O69" t="str">
        <f t="shared" si="13"/>
        <v/>
      </c>
      <c r="P69" t="str">
        <f t="shared" si="14"/>
        <v>[1]=1879337947;</v>
      </c>
      <c r="Q69" t="str">
        <f t="shared" si="15"/>
        <v>[3]=6;</v>
      </c>
      <c r="R69" t="str">
        <f t="shared" si="16"/>
        <v>[2]={["HARVESTMATH_FESTIVAL"]=20;};</v>
      </c>
      <c r="S69" t="str">
        <f t="shared" si="17"/>
        <v>["HARVESTMATH_FESTIVAL"]=20;</v>
      </c>
      <c r="T69" t="str">
        <f t="shared" si="18"/>
        <v/>
      </c>
    </row>
    <row r="70" spans="2:20" x14ac:dyDescent="0.25">
      <c r="C70" t="s">
        <v>62</v>
      </c>
      <c r="D70">
        <v>1879337948</v>
      </c>
      <c r="F70">
        <v>6</v>
      </c>
      <c r="G70">
        <v>20</v>
      </c>
      <c r="L70" t="str">
        <f t="shared" si="10"/>
        <v>[69]={[3]=6;[2]={["HARVESTMATH_FESTIVAL"]=20;};[1]=1879337948;}; -- 6 Twilight Purple Dyes</v>
      </c>
      <c r="M70" t="str">
        <f t="shared" si="11"/>
        <v>[69]={[1]="DIVIDER1"; [2]={["ENGLISH"] = ""; }; };</v>
      </c>
      <c r="N70" t="str">
        <f t="shared" si="12"/>
        <v>[69]={[1]="DIVIDER2"; [2]={["ENGLISH"] = ""; }; };</v>
      </c>
      <c r="O70" t="str">
        <f t="shared" si="13"/>
        <v/>
      </c>
      <c r="P70" t="str">
        <f t="shared" si="14"/>
        <v>[1]=1879337948;</v>
      </c>
      <c r="Q70" t="str">
        <f t="shared" si="15"/>
        <v>[3]=6;</v>
      </c>
      <c r="R70" t="str">
        <f t="shared" si="16"/>
        <v>[2]={["HARVESTMATH_FESTIVAL"]=20;};</v>
      </c>
      <c r="S70" t="str">
        <f t="shared" si="17"/>
        <v>["HARVESTMATH_FESTIVAL"]=20;</v>
      </c>
      <c r="T70" t="str">
        <f t="shared" si="18"/>
        <v/>
      </c>
    </row>
    <row r="71" spans="2:20" x14ac:dyDescent="0.25">
      <c r="C71" t="s">
        <v>9</v>
      </c>
      <c r="D71">
        <v>1879397282</v>
      </c>
      <c r="G71">
        <v>16</v>
      </c>
      <c r="L71" t="str">
        <f t="shared" si="10"/>
        <v>[70]={[2]={["HARVESTMATH_FESTIVAL"]=16;};[1]=1879397282;}; -- Assortment of Dwarf-candles</v>
      </c>
      <c r="M71" t="str">
        <f t="shared" si="11"/>
        <v>[70]={[1]="DIVIDER1"; [2]={["ENGLISH"] = ""; }; };</v>
      </c>
      <c r="N71" t="str">
        <f t="shared" si="12"/>
        <v>[70]={[1]="DIVIDER2"; [2]={["ENGLISH"] = ""; }; };</v>
      </c>
      <c r="O71" t="str">
        <f t="shared" si="13"/>
        <v/>
      </c>
      <c r="P71" t="str">
        <f t="shared" si="14"/>
        <v>[1]=1879397282;</v>
      </c>
      <c r="Q71" t="str">
        <f t="shared" si="15"/>
        <v/>
      </c>
      <c r="R71" t="str">
        <f t="shared" si="16"/>
        <v>[2]={["HARVESTMATH_FESTIVAL"]=16;};</v>
      </c>
      <c r="S71" t="str">
        <f t="shared" si="17"/>
        <v>["HARVESTMATH_FESTIVAL"]=16;</v>
      </c>
      <c r="T71" t="str">
        <f t="shared" si="18"/>
        <v/>
      </c>
    </row>
    <row r="72" spans="2:20" x14ac:dyDescent="0.25">
      <c r="C72" t="s">
        <v>63</v>
      </c>
      <c r="D72">
        <v>1879387361</v>
      </c>
      <c r="F72">
        <v>5</v>
      </c>
      <c r="G72">
        <v>8</v>
      </c>
      <c r="L72" t="str">
        <f t="shared" si="10"/>
        <v>[71]={[3]=5;[2]={["HARVESTMATH_FESTIVAL"]=8;};[1]=1879387361;}; -- 5 Yellow Dwarf-candles</v>
      </c>
      <c r="M72" t="str">
        <f t="shared" si="11"/>
        <v>[71]={[1]="DIVIDER1"; [2]={["ENGLISH"] = ""; }; };</v>
      </c>
      <c r="N72" t="str">
        <f t="shared" si="12"/>
        <v>[71]={[1]="DIVIDER2"; [2]={["ENGLISH"] = ""; }; };</v>
      </c>
      <c r="O72" t="str">
        <f t="shared" si="13"/>
        <v/>
      </c>
      <c r="P72" t="str">
        <f t="shared" si="14"/>
        <v>[1]=1879387361;</v>
      </c>
      <c r="Q72" t="str">
        <f t="shared" si="15"/>
        <v>[3]=5;</v>
      </c>
      <c r="R72" t="str">
        <f t="shared" si="16"/>
        <v>[2]={["HARVESTMATH_FESTIVAL"]=8;};</v>
      </c>
      <c r="S72" t="str">
        <f t="shared" si="17"/>
        <v>["HARVESTMATH_FESTIVAL"]=8;</v>
      </c>
      <c r="T72" t="str">
        <f t="shared" si="18"/>
        <v/>
      </c>
    </row>
    <row r="73" spans="2:20" x14ac:dyDescent="0.25">
      <c r="C73" t="s">
        <v>64</v>
      </c>
      <c r="D73">
        <v>1879387362</v>
      </c>
      <c r="F73">
        <v>5</v>
      </c>
      <c r="G73">
        <v>8</v>
      </c>
      <c r="L73" t="str">
        <f t="shared" si="10"/>
        <v>[72]={[3]=5;[2]={["HARVESTMATH_FESTIVAL"]=8;};[1]=1879387362;}; -- 5 Red Dwarf-candles</v>
      </c>
      <c r="M73" t="str">
        <f t="shared" si="11"/>
        <v>[72]={[1]="DIVIDER1"; [2]={["ENGLISH"] = ""; }; };</v>
      </c>
      <c r="N73" t="str">
        <f t="shared" si="12"/>
        <v>[72]={[1]="DIVIDER2"; [2]={["ENGLISH"] = ""; }; };</v>
      </c>
      <c r="O73" t="str">
        <f t="shared" si="13"/>
        <v/>
      </c>
      <c r="P73" t="str">
        <f t="shared" si="14"/>
        <v>[1]=1879387362;</v>
      </c>
      <c r="Q73" t="str">
        <f t="shared" si="15"/>
        <v>[3]=5;</v>
      </c>
      <c r="R73" t="str">
        <f t="shared" si="16"/>
        <v>[2]={["HARVESTMATH_FESTIVAL"]=8;};</v>
      </c>
      <c r="S73" t="str">
        <f t="shared" si="17"/>
        <v>["HARVESTMATH_FESTIVAL"]=8;</v>
      </c>
      <c r="T73" t="str">
        <f t="shared" si="18"/>
        <v/>
      </c>
    </row>
    <row r="74" spans="2:20" x14ac:dyDescent="0.25">
      <c r="C74" t="s">
        <v>65</v>
      </c>
      <c r="D74">
        <v>1879387363</v>
      </c>
      <c r="F74">
        <v>5</v>
      </c>
      <c r="G74">
        <v>8</v>
      </c>
      <c r="L74" t="str">
        <f t="shared" si="10"/>
        <v>[73]={[3]=5;[2]={["HARVESTMATH_FESTIVAL"]=8;};[1]=1879387363;}; -- 5 Green Dwarf-candles</v>
      </c>
      <c r="M74" t="str">
        <f t="shared" si="11"/>
        <v>[73]={[1]="DIVIDER1"; [2]={["ENGLISH"] = ""; }; };</v>
      </c>
      <c r="N74" t="str">
        <f t="shared" si="12"/>
        <v>[73]={[1]="DIVIDER2"; [2]={["ENGLISH"] = ""; }; };</v>
      </c>
      <c r="O74" t="str">
        <f t="shared" si="13"/>
        <v/>
      </c>
      <c r="P74" t="str">
        <f t="shared" si="14"/>
        <v>[1]=1879387363;</v>
      </c>
      <c r="Q74" t="str">
        <f t="shared" si="15"/>
        <v>[3]=5;</v>
      </c>
      <c r="R74" t="str">
        <f t="shared" si="16"/>
        <v>[2]={["HARVESTMATH_FESTIVAL"]=8;};</v>
      </c>
      <c r="S74" t="str">
        <f t="shared" si="17"/>
        <v>["HARVESTMATH_FESTIVAL"]=8;</v>
      </c>
      <c r="T74" t="str">
        <f t="shared" si="18"/>
        <v/>
      </c>
    </row>
    <row r="75" spans="2:20" x14ac:dyDescent="0.25">
      <c r="C75" t="s">
        <v>66</v>
      </c>
      <c r="D75">
        <v>1879387360</v>
      </c>
      <c r="F75">
        <v>5</v>
      </c>
      <c r="G75">
        <v>8</v>
      </c>
      <c r="L75" t="str">
        <f t="shared" si="10"/>
        <v>[74]={[3]=5;[2]={["HARVESTMATH_FESTIVAL"]=8;};[1]=1879387360;}; -- 5 Blue Dwarf-candles</v>
      </c>
      <c r="M75" t="str">
        <f t="shared" si="11"/>
        <v>[74]={[1]="DIVIDER1"; [2]={["ENGLISH"] = ""; }; };</v>
      </c>
      <c r="N75" t="str">
        <f t="shared" si="12"/>
        <v>[74]={[1]="DIVIDER2"; [2]={["ENGLISH"] = ""; }; };</v>
      </c>
      <c r="O75" t="str">
        <f t="shared" si="13"/>
        <v/>
      </c>
      <c r="P75" t="str">
        <f t="shared" si="14"/>
        <v>[1]=1879387360;</v>
      </c>
      <c r="Q75" t="str">
        <f t="shared" si="15"/>
        <v>[3]=5;</v>
      </c>
      <c r="R75" t="str">
        <f t="shared" si="16"/>
        <v>[2]={["HARVESTMATH_FESTIVAL"]=8;};</v>
      </c>
      <c r="S75" t="str">
        <f t="shared" si="17"/>
        <v>["HARVESTMATH_FESTIVAL"]=8;</v>
      </c>
      <c r="T75" t="str">
        <f t="shared" si="18"/>
        <v/>
      </c>
    </row>
    <row r="76" spans="2:20" x14ac:dyDescent="0.25">
      <c r="C76" t="s">
        <v>67</v>
      </c>
      <c r="D76">
        <v>1879387357</v>
      </c>
      <c r="F76">
        <v>5</v>
      </c>
      <c r="G76">
        <v>8</v>
      </c>
      <c r="L76" t="str">
        <f t="shared" si="10"/>
        <v>[75]={[3]=5;[2]={["HARVESTMATH_FESTIVAL"]=8;};[1]=1879387357;}; -- 5 Orange Dwarf-candles</v>
      </c>
      <c r="M76" t="str">
        <f t="shared" si="11"/>
        <v>[75]={[1]="DIVIDER1"; [2]={["ENGLISH"] = ""; }; };</v>
      </c>
      <c r="N76" t="str">
        <f t="shared" si="12"/>
        <v>[75]={[1]="DIVIDER2"; [2]={["ENGLISH"] = ""; }; };</v>
      </c>
      <c r="O76" t="str">
        <f t="shared" si="13"/>
        <v/>
      </c>
      <c r="P76" t="str">
        <f t="shared" si="14"/>
        <v>[1]=1879387357;</v>
      </c>
      <c r="Q76" t="str">
        <f t="shared" si="15"/>
        <v>[3]=5;</v>
      </c>
      <c r="R76" t="str">
        <f t="shared" si="16"/>
        <v>[2]={["HARVESTMATH_FESTIVAL"]=8;};</v>
      </c>
      <c r="S76" t="str">
        <f t="shared" si="17"/>
        <v>["HARVESTMATH_FESTIVAL"]=8;</v>
      </c>
      <c r="T76" t="str">
        <f t="shared" si="18"/>
        <v/>
      </c>
    </row>
    <row r="77" spans="2:20" x14ac:dyDescent="0.25">
      <c r="C77" t="s">
        <v>68</v>
      </c>
      <c r="D77">
        <v>1879387358</v>
      </c>
      <c r="F77">
        <v>5</v>
      </c>
      <c r="G77">
        <v>8</v>
      </c>
      <c r="L77" t="str">
        <f t="shared" si="10"/>
        <v>[76]={[3]=5;[2]={["HARVESTMATH_FESTIVAL"]=8;};[1]=1879387358;}; -- 5 White Dwarf-candles</v>
      </c>
      <c r="M77" t="str">
        <f t="shared" si="11"/>
        <v>[76]={[1]="DIVIDER1"; [2]={["ENGLISH"] = ""; }; };</v>
      </c>
      <c r="N77" t="str">
        <f t="shared" si="12"/>
        <v>[76]={[1]="DIVIDER2"; [2]={["ENGLISH"] = ""; }; };</v>
      </c>
      <c r="O77" t="str">
        <f t="shared" si="13"/>
        <v/>
      </c>
      <c r="P77" t="str">
        <f t="shared" si="14"/>
        <v>[1]=1879387358;</v>
      </c>
      <c r="Q77" t="str">
        <f t="shared" si="15"/>
        <v>[3]=5;</v>
      </c>
      <c r="R77" t="str">
        <f t="shared" si="16"/>
        <v>[2]={["HARVESTMATH_FESTIVAL"]=8;};</v>
      </c>
      <c r="S77" t="str">
        <f t="shared" si="17"/>
        <v>["HARVESTMATH_FESTIVAL"]=8;</v>
      </c>
      <c r="T77" t="str">
        <f t="shared" si="18"/>
        <v/>
      </c>
    </row>
    <row r="78" spans="2:20" x14ac:dyDescent="0.25">
      <c r="C78" t="s">
        <v>69</v>
      </c>
      <c r="D78">
        <v>1879387359</v>
      </c>
      <c r="F78">
        <v>5</v>
      </c>
      <c r="G78">
        <v>8</v>
      </c>
      <c r="L78" t="str">
        <f t="shared" si="10"/>
        <v>[77]={[3]=5;[2]={["HARVESTMATH_FESTIVAL"]=8;};[1]=1879387359;}; -- 5 Purple Dwarf-candles</v>
      </c>
      <c r="M78" t="str">
        <f t="shared" si="11"/>
        <v>[77]={[1]="DIVIDER1"; [2]={["ENGLISH"] = ""; }; };</v>
      </c>
      <c r="N78" t="str">
        <f t="shared" si="12"/>
        <v>[77]={[1]="DIVIDER2"; [2]={["ENGLISH"] = ""; }; };</v>
      </c>
      <c r="O78" t="str">
        <f t="shared" si="13"/>
        <v/>
      </c>
      <c r="P78" t="str">
        <f t="shared" si="14"/>
        <v>[1]=1879387359;</v>
      </c>
      <c r="Q78" t="str">
        <f t="shared" si="15"/>
        <v>[3]=5;</v>
      </c>
      <c r="R78" t="str">
        <f t="shared" si="16"/>
        <v>[2]={["HARVESTMATH_FESTIVAL"]=8;};</v>
      </c>
      <c r="S78" t="str">
        <f t="shared" si="17"/>
        <v>["HARVESTMATH_FESTIVAL"]=8;</v>
      </c>
      <c r="T78" t="str">
        <f t="shared" si="18"/>
        <v/>
      </c>
    </row>
    <row r="79" spans="2:20" x14ac:dyDescent="0.25">
      <c r="B79" t="s">
        <v>70</v>
      </c>
      <c r="L79" t="str">
        <f t="shared" si="10"/>
        <v>[78]={[1]="DIVIDER2"; [2]={["ENGLISH"] = "Cosmetic Clothing - Gift Boxes"; }; };</v>
      </c>
      <c r="M79" t="str">
        <f t="shared" si="11"/>
        <v>[78]={[1]="DIVIDER1"; [2]={["ENGLISH"] = ""; }; };</v>
      </c>
      <c r="N79" t="str">
        <f t="shared" si="12"/>
        <v>[78]={[1]="DIVIDER2"; [2]={["ENGLISH"] = "Cosmetic Clothing - Gift Boxes"; }; };</v>
      </c>
      <c r="O79" t="str">
        <f t="shared" si="13"/>
        <v/>
      </c>
      <c r="P79" t="str">
        <f t="shared" si="14"/>
        <v>[1]=;</v>
      </c>
      <c r="Q79" t="str">
        <f t="shared" si="15"/>
        <v/>
      </c>
      <c r="R79" t="str">
        <f t="shared" si="16"/>
        <v>[2]={};</v>
      </c>
      <c r="S79" t="str">
        <f t="shared" si="17"/>
        <v/>
      </c>
      <c r="T79" t="str">
        <f t="shared" si="18"/>
        <v/>
      </c>
    </row>
    <row r="80" spans="2:20" x14ac:dyDescent="0.25">
      <c r="C80" t="s">
        <v>243</v>
      </c>
      <c r="D80">
        <v>1879536640</v>
      </c>
      <c r="G80">
        <v>24</v>
      </c>
      <c r="L80" t="str">
        <f t="shared" si="10"/>
        <v>[79]={[2]={["HARVESTMATH_FESTIVAL"]=24;};[1]=1879536640;}; -- Garments of the Midnight Raven - Gift-wrapped Selection Box</v>
      </c>
      <c r="M80" t="str">
        <f t="shared" si="11"/>
        <v>[79]={[1]="DIVIDER1"; [2]={["ENGLISH"] = ""; }; };</v>
      </c>
      <c r="N80" t="str">
        <f t="shared" si="12"/>
        <v>[79]={[1]="DIVIDER2"; [2]={["ENGLISH"] = ""; }; };</v>
      </c>
      <c r="O80" t="str">
        <f t="shared" si="13"/>
        <v/>
      </c>
      <c r="P80" t="str">
        <f t="shared" si="14"/>
        <v>[1]=1879536640;</v>
      </c>
      <c r="Q80" t="str">
        <f t="shared" si="15"/>
        <v/>
      </c>
      <c r="R80" t="str">
        <f t="shared" si="16"/>
        <v>[2]={["HARVESTMATH_FESTIVAL"]=24;};</v>
      </c>
      <c r="S80" t="str">
        <f t="shared" si="17"/>
        <v>["HARVESTMATH_FESTIVAL"]=24;</v>
      </c>
      <c r="T80" t="str">
        <f t="shared" si="18"/>
        <v/>
      </c>
    </row>
    <row r="81" spans="2:20" x14ac:dyDescent="0.25">
      <c r="C81" t="s">
        <v>19</v>
      </c>
      <c r="D81">
        <v>1879516968</v>
      </c>
      <c r="G81">
        <v>24</v>
      </c>
      <c r="L81" t="str">
        <f t="shared" si="10"/>
        <v>[80]={[2]={["HARVESTMATH_FESTIVAL"]=24;};[1]=1879516968;}; -- Cobweb Garments - Gift-wrapped Selection Box</v>
      </c>
      <c r="M81" t="str">
        <f t="shared" si="11"/>
        <v>[80]={[1]="DIVIDER1"; [2]={["ENGLISH"] = ""; }; };</v>
      </c>
      <c r="N81" t="str">
        <f t="shared" si="12"/>
        <v>[80]={[1]="DIVIDER2"; [2]={["ENGLISH"] = ""; }; };</v>
      </c>
      <c r="O81" t="str">
        <f t="shared" si="13"/>
        <v/>
      </c>
      <c r="P81" t="str">
        <f t="shared" si="14"/>
        <v>[1]=1879516968;</v>
      </c>
      <c r="Q81" t="str">
        <f t="shared" si="15"/>
        <v/>
      </c>
      <c r="R81" t="str">
        <f t="shared" si="16"/>
        <v>[2]={["HARVESTMATH_FESTIVAL"]=24;};</v>
      </c>
      <c r="S81" t="str">
        <f t="shared" si="17"/>
        <v>["HARVESTMATH_FESTIVAL"]=24;</v>
      </c>
      <c r="T81" t="str">
        <f t="shared" si="18"/>
        <v/>
      </c>
    </row>
    <row r="82" spans="2:20" x14ac:dyDescent="0.25">
      <c r="C82" t="s">
        <v>71</v>
      </c>
      <c r="D82">
        <v>1879494444</v>
      </c>
      <c r="G82">
        <v>24</v>
      </c>
      <c r="L82" t="str">
        <f t="shared" si="10"/>
        <v>[81]={[2]={["HARVESTMATH_FESTIVAL"]=24;};[1]=1879494444;}; -- Garments of Masked Wisdom - Gift-wrapped Selection Box</v>
      </c>
      <c r="M82" t="str">
        <f t="shared" si="11"/>
        <v>[81]={[1]="DIVIDER1"; [2]={["ENGLISH"] = ""; }; };</v>
      </c>
      <c r="N82" t="str">
        <f t="shared" si="12"/>
        <v>[81]={[1]="DIVIDER2"; [2]={["ENGLISH"] = ""; }; };</v>
      </c>
      <c r="O82" t="str">
        <f t="shared" si="13"/>
        <v/>
      </c>
      <c r="P82" t="str">
        <f t="shared" si="14"/>
        <v>[1]=1879494444;</v>
      </c>
      <c r="Q82" t="str">
        <f t="shared" si="15"/>
        <v/>
      </c>
      <c r="R82" t="str">
        <f t="shared" si="16"/>
        <v>[2]={["HARVESTMATH_FESTIVAL"]=24;};</v>
      </c>
      <c r="S82" t="str">
        <f t="shared" si="17"/>
        <v>["HARVESTMATH_FESTIVAL"]=24;</v>
      </c>
      <c r="T82" t="str">
        <f t="shared" si="18"/>
        <v/>
      </c>
    </row>
    <row r="83" spans="2:20" x14ac:dyDescent="0.25">
      <c r="C83" t="s">
        <v>72</v>
      </c>
      <c r="D83">
        <v>1879470570</v>
      </c>
      <c r="G83">
        <v>24</v>
      </c>
      <c r="L83" t="str">
        <f t="shared" si="10"/>
        <v>[82]={[2]={["HARVESTMATH_FESTIVAL"]=24;};[1]=1879470570;}; -- Garments of the Forest-spirit - Gift-wrapped Selection Box</v>
      </c>
      <c r="M83" t="str">
        <f t="shared" si="11"/>
        <v>[82]={[1]="DIVIDER1"; [2]={["ENGLISH"] = ""; }; };</v>
      </c>
      <c r="N83" t="str">
        <f t="shared" si="12"/>
        <v>[82]={[1]="DIVIDER2"; [2]={["ENGLISH"] = ""; }; };</v>
      </c>
      <c r="O83" t="str">
        <f t="shared" si="13"/>
        <v/>
      </c>
      <c r="P83" t="str">
        <f t="shared" si="14"/>
        <v>[1]=1879470570;</v>
      </c>
      <c r="Q83" t="str">
        <f t="shared" si="15"/>
        <v/>
      </c>
      <c r="R83" t="str">
        <f t="shared" si="16"/>
        <v>[2]={["HARVESTMATH_FESTIVAL"]=24;};</v>
      </c>
      <c r="S83" t="str">
        <f t="shared" si="17"/>
        <v>["HARVESTMATH_FESTIVAL"]=24;</v>
      </c>
      <c r="T83" t="str">
        <f t="shared" si="18"/>
        <v/>
      </c>
    </row>
    <row r="84" spans="2:20" x14ac:dyDescent="0.25">
      <c r="C84" t="s">
        <v>73</v>
      </c>
      <c r="D84">
        <v>1879412795</v>
      </c>
      <c r="G84">
        <v>24</v>
      </c>
      <c r="L84" t="str">
        <f t="shared" si="10"/>
        <v>[83]={[2]={["HARVESTMATH_FESTIVAL"]=24;};[1]=1879412795;}; -- Harvestmath Garments - Gift-wrapped selection box</v>
      </c>
      <c r="M84" t="str">
        <f t="shared" si="11"/>
        <v>[83]={[1]="DIVIDER1"; [2]={["ENGLISH"] = ""; }; };</v>
      </c>
      <c r="N84" t="str">
        <f t="shared" si="12"/>
        <v>[83]={[1]="DIVIDER2"; [2]={["ENGLISH"] = ""; }; };</v>
      </c>
      <c r="O84" t="str">
        <f t="shared" si="13"/>
        <v/>
      </c>
      <c r="P84" t="str">
        <f t="shared" si="14"/>
        <v>[1]=1879412795;</v>
      </c>
      <c r="Q84" t="str">
        <f t="shared" si="15"/>
        <v/>
      </c>
      <c r="R84" t="str">
        <f t="shared" si="16"/>
        <v>[2]={["HARVESTMATH_FESTIVAL"]=24;};</v>
      </c>
      <c r="S84" t="str">
        <f t="shared" si="17"/>
        <v>["HARVESTMATH_FESTIVAL"]=24;</v>
      </c>
      <c r="T84" t="str">
        <f t="shared" si="18"/>
        <v/>
      </c>
    </row>
    <row r="85" spans="2:20" x14ac:dyDescent="0.25">
      <c r="C85" t="s">
        <v>74</v>
      </c>
      <c r="D85">
        <v>1879394569</v>
      </c>
      <c r="G85">
        <v>24</v>
      </c>
      <c r="L85" t="str">
        <f t="shared" si="10"/>
        <v>[84]={[2]={["HARVESTMATH_FESTIVAL"]=24;};[1]=1879394569;}; -- Garments of the Autumn Traveller - Gift-wrapped selection box</v>
      </c>
      <c r="M85" t="str">
        <f t="shared" si="11"/>
        <v>[84]={[1]="DIVIDER1"; [2]={["ENGLISH"] = ""; }; };</v>
      </c>
      <c r="N85" t="str">
        <f t="shared" si="12"/>
        <v>[84]={[1]="DIVIDER2"; [2]={["ENGLISH"] = ""; }; };</v>
      </c>
      <c r="O85" t="str">
        <f t="shared" si="13"/>
        <v/>
      </c>
      <c r="P85" t="str">
        <f t="shared" si="14"/>
        <v>[1]=1879394569;</v>
      </c>
      <c r="Q85" t="str">
        <f t="shared" si="15"/>
        <v/>
      </c>
      <c r="R85" t="str">
        <f t="shared" si="16"/>
        <v>[2]={["HARVESTMATH_FESTIVAL"]=24;};</v>
      </c>
      <c r="S85" t="str">
        <f t="shared" si="17"/>
        <v>["HARVESTMATH_FESTIVAL"]=24;</v>
      </c>
      <c r="T85" t="str">
        <f t="shared" si="18"/>
        <v/>
      </c>
    </row>
    <row r="86" spans="2:20" x14ac:dyDescent="0.25">
      <c r="C86" t="s">
        <v>75</v>
      </c>
      <c r="D86">
        <v>1879361281</v>
      </c>
      <c r="G86">
        <v>18</v>
      </c>
      <c r="L86" t="str">
        <f t="shared" si="10"/>
        <v>[85]={[2]={["HARVESTMATH_FESTIVAL"]=18;};[1]=1879361281;}; -- Autumn Leafmail Shoulders - Gift-wrapped</v>
      </c>
      <c r="M86" t="str">
        <f t="shared" si="11"/>
        <v>[85]={[1]="DIVIDER1"; [2]={["ENGLISH"] = ""; }; };</v>
      </c>
      <c r="N86" t="str">
        <f t="shared" si="12"/>
        <v>[85]={[1]="DIVIDER2"; [2]={["ENGLISH"] = ""; }; };</v>
      </c>
      <c r="O86" t="str">
        <f t="shared" si="13"/>
        <v/>
      </c>
      <c r="P86" t="str">
        <f t="shared" si="14"/>
        <v>[1]=1879361281;</v>
      </c>
      <c r="Q86" t="str">
        <f t="shared" si="15"/>
        <v/>
      </c>
      <c r="R86" t="str">
        <f t="shared" si="16"/>
        <v>[2]={["HARVESTMATH_FESTIVAL"]=18;};</v>
      </c>
      <c r="S86" t="str">
        <f t="shared" si="17"/>
        <v>["HARVESTMATH_FESTIVAL"]=18;</v>
      </c>
      <c r="T86" t="str">
        <f t="shared" si="18"/>
        <v/>
      </c>
    </row>
    <row r="87" spans="2:20" x14ac:dyDescent="0.25">
      <c r="C87" t="s">
        <v>76</v>
      </c>
      <c r="D87">
        <v>1879361284</v>
      </c>
      <c r="G87">
        <v>18</v>
      </c>
      <c r="L87" t="str">
        <f t="shared" si="10"/>
        <v>[86]={[2]={["HARVESTMATH_FESTIVAL"]=18;};[1]=1879361284;}; -- Autumn Leafmail Hauberk - Gift-wrapped</v>
      </c>
      <c r="M87" t="str">
        <f t="shared" si="11"/>
        <v>[86]={[1]="DIVIDER1"; [2]={["ENGLISH"] = ""; }; };</v>
      </c>
      <c r="N87" t="str">
        <f t="shared" si="12"/>
        <v>[86]={[1]="DIVIDER2"; [2]={["ENGLISH"] = ""; }; };</v>
      </c>
      <c r="O87" t="str">
        <f t="shared" si="13"/>
        <v/>
      </c>
      <c r="P87" t="str">
        <f t="shared" si="14"/>
        <v>[1]=1879361284;</v>
      </c>
      <c r="Q87" t="str">
        <f t="shared" si="15"/>
        <v/>
      </c>
      <c r="R87" t="str">
        <f t="shared" si="16"/>
        <v>[2]={["HARVESTMATH_FESTIVAL"]=18;};</v>
      </c>
      <c r="S87" t="str">
        <f t="shared" si="17"/>
        <v>["HARVESTMATH_FESTIVAL"]=18;</v>
      </c>
      <c r="T87" t="str">
        <f t="shared" si="18"/>
        <v/>
      </c>
    </row>
    <row r="88" spans="2:20" x14ac:dyDescent="0.25">
      <c r="C88" t="s">
        <v>77</v>
      </c>
      <c r="D88">
        <v>1879361283</v>
      </c>
      <c r="G88">
        <v>18</v>
      </c>
      <c r="L88" t="str">
        <f t="shared" si="10"/>
        <v>[87]={[2]={["HARVESTMATH_FESTIVAL"]=18;};[1]=1879361283;}; -- Autumn Leafmail Dress - Gift-wrapped</v>
      </c>
      <c r="M88" t="str">
        <f t="shared" si="11"/>
        <v>[87]={[1]="DIVIDER1"; [2]={["ENGLISH"] = ""; }; };</v>
      </c>
      <c r="N88" t="str">
        <f t="shared" si="12"/>
        <v>[87]={[1]="DIVIDER2"; [2]={["ENGLISH"] = ""; }; };</v>
      </c>
      <c r="O88" t="str">
        <f t="shared" si="13"/>
        <v/>
      </c>
      <c r="P88" t="str">
        <f t="shared" si="14"/>
        <v>[1]=1879361283;</v>
      </c>
      <c r="Q88" t="str">
        <f t="shared" si="15"/>
        <v/>
      </c>
      <c r="R88" t="str">
        <f t="shared" si="16"/>
        <v>[2]={["HARVESTMATH_FESTIVAL"]=18;};</v>
      </c>
      <c r="S88" t="str">
        <f t="shared" si="17"/>
        <v>["HARVESTMATH_FESTIVAL"]=18;</v>
      </c>
      <c r="T88" t="str">
        <f t="shared" si="18"/>
        <v/>
      </c>
    </row>
    <row r="89" spans="2:20" x14ac:dyDescent="0.25">
      <c r="C89" t="s">
        <v>78</v>
      </c>
      <c r="D89">
        <v>1879361280</v>
      </c>
      <c r="G89">
        <v>18</v>
      </c>
      <c r="L89" t="str">
        <f t="shared" si="10"/>
        <v>[88]={[2]={["HARVESTMATH_FESTIVAL"]=18;};[1]=1879361280;}; -- Autumn Leafmail Cloak - Gift-wrapped</v>
      </c>
      <c r="M89" t="str">
        <f t="shared" si="11"/>
        <v>[88]={[1]="DIVIDER1"; [2]={["ENGLISH"] = ""; }; };</v>
      </c>
      <c r="N89" t="str">
        <f t="shared" si="12"/>
        <v>[88]={[1]="DIVIDER2"; [2]={["ENGLISH"] = ""; }; };</v>
      </c>
      <c r="O89" t="str">
        <f t="shared" si="13"/>
        <v/>
      </c>
      <c r="P89" t="str">
        <f t="shared" si="14"/>
        <v>[1]=1879361280;</v>
      </c>
      <c r="Q89" t="str">
        <f t="shared" si="15"/>
        <v/>
      </c>
      <c r="R89" t="str">
        <f t="shared" si="16"/>
        <v>[2]={["HARVESTMATH_FESTIVAL"]=18;};</v>
      </c>
      <c r="S89" t="str">
        <f t="shared" si="17"/>
        <v>["HARVESTMATH_FESTIVAL"]=18;</v>
      </c>
      <c r="T89" t="str">
        <f t="shared" si="18"/>
        <v/>
      </c>
    </row>
    <row r="90" spans="2:20" x14ac:dyDescent="0.25">
      <c r="C90" t="s">
        <v>79</v>
      </c>
      <c r="D90">
        <v>1879361282</v>
      </c>
      <c r="G90">
        <v>18</v>
      </c>
      <c r="L90" t="str">
        <f t="shared" si="10"/>
        <v>[89]={[2]={["HARVESTMATH_FESTIVAL"]=18;};[1]=1879361282;}; -- Hooded Autumn Leafmail Cloak - Gift-wrapped</v>
      </c>
      <c r="M90" t="str">
        <f t="shared" si="11"/>
        <v>[89]={[1]="DIVIDER1"; [2]={["ENGLISH"] = ""; }; };</v>
      </c>
      <c r="N90" t="str">
        <f t="shared" si="12"/>
        <v>[89]={[1]="DIVIDER2"; [2]={["ENGLISH"] = ""; }; };</v>
      </c>
      <c r="O90" t="str">
        <f t="shared" si="13"/>
        <v/>
      </c>
      <c r="P90" t="str">
        <f t="shared" si="14"/>
        <v>[1]=1879361282;</v>
      </c>
      <c r="Q90" t="str">
        <f t="shared" si="15"/>
        <v/>
      </c>
      <c r="R90" t="str">
        <f t="shared" si="16"/>
        <v>[2]={["HARVESTMATH_FESTIVAL"]=18;};</v>
      </c>
      <c r="S90" t="str">
        <f t="shared" si="17"/>
        <v>["HARVESTMATH_FESTIVAL"]=18;</v>
      </c>
      <c r="T90" t="str">
        <f t="shared" si="18"/>
        <v/>
      </c>
    </row>
    <row r="91" spans="2:20" x14ac:dyDescent="0.25">
      <c r="C91" t="s">
        <v>80</v>
      </c>
      <c r="D91">
        <v>1879381544</v>
      </c>
      <c r="G91">
        <v>18</v>
      </c>
      <c r="L91" t="str">
        <f t="shared" si="10"/>
        <v>[90]={[2]={["HARVESTMATH_FESTIVAL"]=18;};[1]=1879381544;}; -- Cloak of the Autumn Wanderer - Gift Wrapped</v>
      </c>
      <c r="M91" t="str">
        <f t="shared" si="11"/>
        <v>[90]={[1]="DIVIDER1"; [2]={["ENGLISH"] = ""; }; };</v>
      </c>
      <c r="N91" t="str">
        <f t="shared" si="12"/>
        <v>[90]={[1]="DIVIDER2"; [2]={["ENGLISH"] = ""; }; };</v>
      </c>
      <c r="O91" t="str">
        <f t="shared" si="13"/>
        <v/>
      </c>
      <c r="P91" t="str">
        <f t="shared" si="14"/>
        <v>[1]=1879381544;</v>
      </c>
      <c r="Q91" t="str">
        <f t="shared" si="15"/>
        <v/>
      </c>
      <c r="R91" t="str">
        <f t="shared" si="16"/>
        <v>[2]={["HARVESTMATH_FESTIVAL"]=18;};</v>
      </c>
      <c r="S91" t="str">
        <f t="shared" si="17"/>
        <v>["HARVESTMATH_FESTIVAL"]=18;</v>
      </c>
      <c r="T91" t="str">
        <f t="shared" si="18"/>
        <v/>
      </c>
    </row>
    <row r="92" spans="2:20" x14ac:dyDescent="0.25">
      <c r="C92" t="s">
        <v>81</v>
      </c>
      <c r="D92">
        <v>1879381551</v>
      </c>
      <c r="G92">
        <v>18</v>
      </c>
      <c r="L92" t="str">
        <f t="shared" si="10"/>
        <v>[91]={[2]={["HARVESTMATH_FESTIVAL"]=18;};[1]=1879381551;}; -- Hooded Cloak of the Autumn Wanderer - Gift Wrapped</v>
      </c>
      <c r="M92" t="str">
        <f t="shared" si="11"/>
        <v>[91]={[1]="DIVIDER1"; [2]={["ENGLISH"] = ""; }; };</v>
      </c>
      <c r="N92" t="str">
        <f t="shared" si="12"/>
        <v>[91]={[1]="DIVIDER2"; [2]={["ENGLISH"] = ""; }; };</v>
      </c>
      <c r="O92" t="str">
        <f t="shared" si="13"/>
        <v/>
      </c>
      <c r="P92" t="str">
        <f t="shared" si="14"/>
        <v>[1]=1879381551;</v>
      </c>
      <c r="Q92" t="str">
        <f t="shared" si="15"/>
        <v/>
      </c>
      <c r="R92" t="str">
        <f t="shared" si="16"/>
        <v>[2]={["HARVESTMATH_FESTIVAL"]=18;};</v>
      </c>
      <c r="S92" t="str">
        <f t="shared" si="17"/>
        <v>["HARVESTMATH_FESTIVAL"]=18;</v>
      </c>
      <c r="T92" t="str">
        <f t="shared" si="18"/>
        <v/>
      </c>
    </row>
    <row r="93" spans="2:20" x14ac:dyDescent="0.25">
      <c r="C93" t="s">
        <v>82</v>
      </c>
      <c r="D93">
        <v>1879381545</v>
      </c>
      <c r="G93">
        <v>18</v>
      </c>
      <c r="L93" t="str">
        <f t="shared" si="10"/>
        <v>[92]={[2]={["HARVESTMATH_FESTIVAL"]=18;};[1]=1879381545;}; -- Travelling Robes of the Autumn Wanderer - Gift Wrapped</v>
      </c>
      <c r="M93" t="str">
        <f t="shared" si="11"/>
        <v>[92]={[1]="DIVIDER1"; [2]={["ENGLISH"] = ""; }; };</v>
      </c>
      <c r="N93" t="str">
        <f t="shared" si="12"/>
        <v>[92]={[1]="DIVIDER2"; [2]={["ENGLISH"] = ""; }; };</v>
      </c>
      <c r="O93" t="str">
        <f t="shared" si="13"/>
        <v/>
      </c>
      <c r="P93" t="str">
        <f t="shared" si="14"/>
        <v>[1]=1879381545;</v>
      </c>
      <c r="Q93" t="str">
        <f t="shared" si="15"/>
        <v/>
      </c>
      <c r="R93" t="str">
        <f t="shared" si="16"/>
        <v>[2]={["HARVESTMATH_FESTIVAL"]=18;};</v>
      </c>
      <c r="S93" t="str">
        <f t="shared" si="17"/>
        <v>["HARVESTMATH_FESTIVAL"]=18;</v>
      </c>
      <c r="T93" t="str">
        <f t="shared" si="18"/>
        <v/>
      </c>
    </row>
    <row r="94" spans="2:20" x14ac:dyDescent="0.25">
      <c r="C94" t="s">
        <v>83</v>
      </c>
      <c r="D94">
        <v>1879381549</v>
      </c>
      <c r="G94">
        <v>18</v>
      </c>
      <c r="L94" t="str">
        <f t="shared" si="10"/>
        <v>[93]={[2]={["HARVESTMATH_FESTIVAL"]=18;};[1]=1879381549;}; -- Mask of the Autumn Wanderer - Gift Wrapped</v>
      </c>
      <c r="M94" t="str">
        <f t="shared" si="11"/>
        <v>[93]={[1]="DIVIDER1"; [2]={["ENGLISH"] = ""; }; };</v>
      </c>
      <c r="N94" t="str">
        <f t="shared" si="12"/>
        <v>[93]={[1]="DIVIDER2"; [2]={["ENGLISH"] = ""; }; };</v>
      </c>
      <c r="O94" t="str">
        <f t="shared" si="13"/>
        <v/>
      </c>
      <c r="P94" t="str">
        <f t="shared" si="14"/>
        <v>[1]=1879381549;</v>
      </c>
      <c r="Q94" t="str">
        <f t="shared" si="15"/>
        <v/>
      </c>
      <c r="R94" t="str">
        <f t="shared" si="16"/>
        <v>[2]={["HARVESTMATH_FESTIVAL"]=18;};</v>
      </c>
      <c r="S94" t="str">
        <f t="shared" si="17"/>
        <v>["HARVESTMATH_FESTIVAL"]=18;</v>
      </c>
      <c r="T94" t="str">
        <f t="shared" si="18"/>
        <v/>
      </c>
    </row>
    <row r="95" spans="2:20" x14ac:dyDescent="0.25">
      <c r="B95" t="s">
        <v>84</v>
      </c>
      <c r="L95" t="str">
        <f t="shared" si="10"/>
        <v>[94]={[1]="DIVIDER2"; [2]={["ENGLISH"] = "Fall Festival Steeds - Mithril I"; }; };</v>
      </c>
      <c r="M95" t="str">
        <f t="shared" si="11"/>
        <v>[94]={[1]="DIVIDER1"; [2]={["ENGLISH"] = ""; }; };</v>
      </c>
      <c r="N95" t="str">
        <f t="shared" si="12"/>
        <v>[94]={[1]="DIVIDER2"; [2]={["ENGLISH"] = "Fall Festival Steeds - Mithril I"; }; };</v>
      </c>
      <c r="O95" t="str">
        <f t="shared" si="13"/>
        <v/>
      </c>
      <c r="P95" t="str">
        <f t="shared" si="14"/>
        <v>[1]=;</v>
      </c>
      <c r="Q95" t="str">
        <f t="shared" si="15"/>
        <v/>
      </c>
      <c r="R95" t="str">
        <f t="shared" si="16"/>
        <v>[2]={};</v>
      </c>
      <c r="S95" t="str">
        <f t="shared" si="17"/>
        <v/>
      </c>
      <c r="T95" t="str">
        <f t="shared" si="18"/>
        <v/>
      </c>
    </row>
    <row r="96" spans="2:20" x14ac:dyDescent="0.25">
      <c r="C96" t="s">
        <v>237</v>
      </c>
      <c r="D96">
        <v>1879536630</v>
      </c>
      <c r="H96">
        <v>70</v>
      </c>
      <c r="L96" t="str">
        <f t="shared" si="10"/>
        <v>[95]={[2]={["GENERIC_MITHRIL"]=70;};[1]=1879536630;}; -- Steed of the Midnight Raven</v>
      </c>
      <c r="M96" t="str">
        <f t="shared" si="11"/>
        <v>[95]={[1]="DIVIDER1"; [2]={["ENGLISH"] = ""; }; };</v>
      </c>
      <c r="N96" t="str">
        <f t="shared" si="12"/>
        <v>[95]={[1]="DIVIDER2"; [2]={["ENGLISH"] = ""; }; };</v>
      </c>
      <c r="O96" t="str">
        <f t="shared" si="13"/>
        <v/>
      </c>
      <c r="P96" t="str">
        <f t="shared" si="14"/>
        <v>[1]=1879536630;</v>
      </c>
      <c r="Q96" t="str">
        <f t="shared" si="15"/>
        <v/>
      </c>
      <c r="R96" t="str">
        <f t="shared" si="16"/>
        <v>[2]={["GENERIC_MITHRIL"]=70;};</v>
      </c>
      <c r="S96" t="str">
        <f t="shared" si="17"/>
        <v/>
      </c>
      <c r="T96" t="str">
        <f t="shared" si="18"/>
        <v>["GENERIC_MITHRIL"]=70;</v>
      </c>
    </row>
    <row r="97" spans="2:20" x14ac:dyDescent="0.25">
      <c r="C97" t="s">
        <v>244</v>
      </c>
      <c r="D97">
        <v>1879536642</v>
      </c>
      <c r="H97">
        <v>70</v>
      </c>
      <c r="L97" t="str">
        <f t="shared" si="10"/>
        <v>[96]={[2]={["GENERIC_MITHRIL"]=70;};[1]=1879536642;}; -- War-steed Cosmetics of the Midnight Raven</v>
      </c>
      <c r="M97" t="str">
        <f t="shared" si="11"/>
        <v>[96]={[1]="DIVIDER1"; [2]={["ENGLISH"] = ""; }; };</v>
      </c>
      <c r="N97" t="str">
        <f t="shared" si="12"/>
        <v>[96]={[1]="DIVIDER2"; [2]={["ENGLISH"] = ""; }; };</v>
      </c>
      <c r="O97" t="str">
        <f t="shared" si="13"/>
        <v/>
      </c>
      <c r="P97" t="str">
        <f t="shared" si="14"/>
        <v>[1]=1879536642;</v>
      </c>
      <c r="Q97" t="str">
        <f t="shared" si="15"/>
        <v/>
      </c>
      <c r="R97" t="str">
        <f t="shared" si="16"/>
        <v>[2]={["GENERIC_MITHRIL"]=70;};</v>
      </c>
      <c r="S97" t="str">
        <f t="shared" si="17"/>
        <v/>
      </c>
      <c r="T97" t="str">
        <f t="shared" si="18"/>
        <v>["GENERIC_MITHRIL"]=70;</v>
      </c>
    </row>
    <row r="98" spans="2:20" x14ac:dyDescent="0.25">
      <c r="C98" t="s">
        <v>25</v>
      </c>
      <c r="D98">
        <v>1879517201</v>
      </c>
      <c r="H98">
        <v>70</v>
      </c>
      <c r="L98" t="str">
        <f t="shared" si="10"/>
        <v>[97]={[2]={["GENERIC_MITHRIL"]=70;};[1]=1879517201;}; -- Fall Hobby-broom</v>
      </c>
      <c r="M98" t="str">
        <f t="shared" si="11"/>
        <v>[97]={[1]="DIVIDER1"; [2]={["ENGLISH"] = ""; }; };</v>
      </c>
      <c r="N98" t="str">
        <f t="shared" si="12"/>
        <v>[97]={[1]="DIVIDER2"; [2]={["ENGLISH"] = ""; }; };</v>
      </c>
      <c r="O98" t="str">
        <f t="shared" si="13"/>
        <v/>
      </c>
      <c r="P98" t="str">
        <f t="shared" si="14"/>
        <v>[1]=1879517201;</v>
      </c>
      <c r="Q98" t="str">
        <f t="shared" si="15"/>
        <v/>
      </c>
      <c r="R98" t="str">
        <f t="shared" si="16"/>
        <v>[2]={["GENERIC_MITHRIL"]=70;};</v>
      </c>
      <c r="S98" t="str">
        <f t="shared" si="17"/>
        <v/>
      </c>
      <c r="T98" t="str">
        <f t="shared" si="18"/>
        <v>["GENERIC_MITHRIL"]=70;</v>
      </c>
    </row>
    <row r="99" spans="2:20" x14ac:dyDescent="0.25">
      <c r="C99" t="s">
        <v>38</v>
      </c>
      <c r="D99">
        <v>1879470559</v>
      </c>
      <c r="H99">
        <v>70</v>
      </c>
      <c r="L99" t="str">
        <f t="shared" si="10"/>
        <v>[98]={[2]={["GENERIC_MITHRIL"]=70;};[1]=1879470559;}; -- Elk of the Forest-spirit</v>
      </c>
      <c r="M99" t="str">
        <f t="shared" si="11"/>
        <v>[98]={[1]="DIVIDER1"; [2]={["ENGLISH"] = ""; }; };</v>
      </c>
      <c r="N99" t="str">
        <f t="shared" si="12"/>
        <v>[98]={[1]="DIVIDER2"; [2]={["ENGLISH"] = ""; }; };</v>
      </c>
      <c r="O99" t="str">
        <f t="shared" si="13"/>
        <v/>
      </c>
      <c r="P99" t="str">
        <f t="shared" si="14"/>
        <v>[1]=1879470559;</v>
      </c>
      <c r="Q99" t="str">
        <f t="shared" si="15"/>
        <v/>
      </c>
      <c r="R99" t="str">
        <f t="shared" si="16"/>
        <v>[2]={["GENERIC_MITHRIL"]=70;};</v>
      </c>
      <c r="S99" t="str">
        <f t="shared" si="17"/>
        <v/>
      </c>
      <c r="T99" t="str">
        <f t="shared" si="18"/>
        <v>["GENERIC_MITHRIL"]=70;</v>
      </c>
    </row>
    <row r="100" spans="2:20" x14ac:dyDescent="0.25">
      <c r="C100" t="s">
        <v>39</v>
      </c>
      <c r="D100">
        <v>1879412855</v>
      </c>
      <c r="H100">
        <v>70</v>
      </c>
      <c r="L100" t="str">
        <f t="shared" si="10"/>
        <v>[99]={[2]={["GENERIC_MITHRIL"]=70;};[1]=1879412855;}; -- Caparison of the Autumn Sage's Bearance</v>
      </c>
      <c r="M100" t="str">
        <f t="shared" si="11"/>
        <v>[99]={[1]="DIVIDER1"; [2]={["ENGLISH"] = ""; }; };</v>
      </c>
      <c r="N100" t="str">
        <f t="shared" si="12"/>
        <v>[99]={[1]="DIVIDER2"; [2]={["ENGLISH"] = ""; }; };</v>
      </c>
      <c r="O100" t="str">
        <f t="shared" si="13"/>
        <v/>
      </c>
      <c r="P100" t="str">
        <f t="shared" si="14"/>
        <v>[1]=1879412855;</v>
      </c>
      <c r="Q100" t="str">
        <f t="shared" si="15"/>
        <v/>
      </c>
      <c r="R100" t="str">
        <f t="shared" si="16"/>
        <v>[2]={["GENERIC_MITHRIL"]=70;};</v>
      </c>
      <c r="S100" t="str">
        <f t="shared" si="17"/>
        <v/>
      </c>
      <c r="T100" t="str">
        <f t="shared" si="18"/>
        <v>["GENERIC_MITHRIL"]=70;</v>
      </c>
    </row>
    <row r="101" spans="2:20" x14ac:dyDescent="0.25">
      <c r="C101" t="s">
        <v>40</v>
      </c>
      <c r="D101">
        <v>1879412853</v>
      </c>
      <c r="E101" s="1"/>
      <c r="H101">
        <v>70</v>
      </c>
      <c r="L101" t="str">
        <f t="shared" si="10"/>
        <v>[100]={[2]={["GENERIC_MITHRIL"]=70;};[1]=1879412853;}; -- Mask of the Autumn Sage's Bearance</v>
      </c>
      <c r="M101" t="str">
        <f t="shared" si="11"/>
        <v>[100]={[1]="DIVIDER1"; [2]={["ENGLISH"] = ""; }; };</v>
      </c>
      <c r="N101" t="str">
        <f t="shared" si="12"/>
        <v>[100]={[1]="DIVIDER2"; [2]={["ENGLISH"] = ""; }; };</v>
      </c>
      <c r="O101" t="str">
        <f t="shared" si="13"/>
        <v/>
      </c>
      <c r="P101" t="str">
        <f t="shared" si="14"/>
        <v>[1]=1879412853;</v>
      </c>
      <c r="Q101" t="str">
        <f t="shared" si="15"/>
        <v/>
      </c>
      <c r="R101" t="str">
        <f t="shared" si="16"/>
        <v>[2]={["GENERIC_MITHRIL"]=70;};</v>
      </c>
      <c r="S101" t="str">
        <f t="shared" si="17"/>
        <v/>
      </c>
      <c r="T101" t="str">
        <f t="shared" si="18"/>
        <v>["GENERIC_MITHRIL"]=70;</v>
      </c>
    </row>
    <row r="102" spans="2:20" x14ac:dyDescent="0.25">
      <c r="C102" t="s">
        <v>41</v>
      </c>
      <c r="D102">
        <v>1879412858</v>
      </c>
      <c r="H102">
        <v>70</v>
      </c>
      <c r="L102" t="str">
        <f t="shared" si="10"/>
        <v>[101]={[2]={["GENERIC_MITHRIL"]=70;};[1]=1879412858;}; -- Saddle of the Autumn Sage's Bearance</v>
      </c>
      <c r="M102" t="str">
        <f t="shared" si="11"/>
        <v>[101]={[1]="DIVIDER1"; [2]={["ENGLISH"] = ""; }; };</v>
      </c>
      <c r="N102" t="str">
        <f t="shared" si="12"/>
        <v>[101]={[1]="DIVIDER2"; [2]={["ENGLISH"] = ""; }; };</v>
      </c>
      <c r="O102" t="str">
        <f t="shared" si="13"/>
        <v/>
      </c>
      <c r="P102" t="str">
        <f t="shared" si="14"/>
        <v>[1]=1879412858;</v>
      </c>
      <c r="Q102" t="str">
        <f t="shared" si="15"/>
        <v/>
      </c>
      <c r="R102" t="str">
        <f t="shared" si="16"/>
        <v>[2]={["GENERIC_MITHRIL"]=70;};</v>
      </c>
      <c r="S102" t="str">
        <f t="shared" si="17"/>
        <v/>
      </c>
      <c r="T102" t="str">
        <f t="shared" si="18"/>
        <v>["GENERIC_MITHRIL"]=70;</v>
      </c>
    </row>
    <row r="103" spans="2:20" x14ac:dyDescent="0.25">
      <c r="C103" t="s">
        <v>42</v>
      </c>
      <c r="D103">
        <v>1879412852</v>
      </c>
      <c r="H103">
        <v>70</v>
      </c>
      <c r="L103" t="str">
        <f t="shared" si="10"/>
        <v>[102]={[2]={["GENERIC_MITHRIL"]=70;};[1]=1879412852;}; -- Steed of the Autumn Sage</v>
      </c>
      <c r="M103" t="str">
        <f t="shared" si="11"/>
        <v>[102]={[1]="DIVIDER1"; [2]={["ENGLISH"] = ""; }; };</v>
      </c>
      <c r="N103" t="str">
        <f t="shared" si="12"/>
        <v>[102]={[1]="DIVIDER2"; [2]={["ENGLISH"] = ""; }; };</v>
      </c>
      <c r="O103" t="str">
        <f t="shared" si="13"/>
        <v/>
      </c>
      <c r="P103" t="str">
        <f t="shared" si="14"/>
        <v>[1]=1879412852;</v>
      </c>
      <c r="Q103" t="str">
        <f t="shared" si="15"/>
        <v/>
      </c>
      <c r="R103" t="str">
        <f t="shared" si="16"/>
        <v>[2]={["GENERIC_MITHRIL"]=70;};</v>
      </c>
      <c r="S103" t="str">
        <f t="shared" si="17"/>
        <v/>
      </c>
      <c r="T103" t="str">
        <f t="shared" si="18"/>
        <v>["GENERIC_MITHRIL"]=70;</v>
      </c>
    </row>
    <row r="104" spans="2:20" x14ac:dyDescent="0.25">
      <c r="C104" t="s">
        <v>43</v>
      </c>
      <c r="D104">
        <v>1879394566</v>
      </c>
      <c r="H104">
        <v>70</v>
      </c>
      <c r="L104" t="str">
        <f t="shared" si="10"/>
        <v>[103]={[2]={["GENERIC_MITHRIL"]=70;};[1]=1879394566;}; -- Steed of the Autumn Traveller</v>
      </c>
      <c r="M104" t="str">
        <f t="shared" si="11"/>
        <v>[103]={[1]="DIVIDER1"; [2]={["ENGLISH"] = ""; }; };</v>
      </c>
      <c r="N104" t="str">
        <f t="shared" si="12"/>
        <v>[103]={[1]="DIVIDER2"; [2]={["ENGLISH"] = ""; }; };</v>
      </c>
      <c r="O104" t="str">
        <f t="shared" si="13"/>
        <v/>
      </c>
      <c r="P104" t="str">
        <f t="shared" si="14"/>
        <v>[1]=1879394566;</v>
      </c>
      <c r="Q104" t="str">
        <f t="shared" si="15"/>
        <v/>
      </c>
      <c r="R104" t="str">
        <f t="shared" si="16"/>
        <v>[2]={["GENERIC_MITHRIL"]=70;};</v>
      </c>
      <c r="S104" t="str">
        <f t="shared" si="17"/>
        <v/>
      </c>
      <c r="T104" t="str">
        <f t="shared" si="18"/>
        <v>["GENERIC_MITHRIL"]=70;</v>
      </c>
    </row>
    <row r="105" spans="2:20" x14ac:dyDescent="0.25">
      <c r="C105" t="s">
        <v>85</v>
      </c>
      <c r="D105">
        <v>1879381653</v>
      </c>
      <c r="H105">
        <v>70</v>
      </c>
      <c r="L105" t="str">
        <f t="shared" si="10"/>
        <v>[104]={[2]={["GENERIC_MITHRIL"]=70;};[1]=1879381653;}; -- Harbinger of Autumn Night</v>
      </c>
      <c r="M105" t="str">
        <f t="shared" si="11"/>
        <v>[104]={[1]="DIVIDER1"; [2]={["ENGLISH"] = ""; }; };</v>
      </c>
      <c r="N105" t="str">
        <f t="shared" si="12"/>
        <v>[104]={[1]="DIVIDER2"; [2]={["ENGLISH"] = ""; }; };</v>
      </c>
      <c r="O105" t="str">
        <f t="shared" si="13"/>
        <v/>
      </c>
      <c r="P105" t="str">
        <f t="shared" si="14"/>
        <v>[1]=1879381653;</v>
      </c>
      <c r="Q105" t="str">
        <f t="shared" si="15"/>
        <v/>
      </c>
      <c r="R105" t="str">
        <f t="shared" si="16"/>
        <v>[2]={["GENERIC_MITHRIL"]=70;};</v>
      </c>
      <c r="S105" t="str">
        <f t="shared" si="17"/>
        <v/>
      </c>
      <c r="T105" t="str">
        <f t="shared" si="18"/>
        <v>["GENERIC_MITHRIL"]=70;</v>
      </c>
    </row>
    <row r="106" spans="2:20" x14ac:dyDescent="0.25">
      <c r="C106" t="s">
        <v>86</v>
      </c>
      <c r="D106">
        <v>1879381563</v>
      </c>
      <c r="H106">
        <v>70</v>
      </c>
      <c r="L106" t="str">
        <f t="shared" si="10"/>
        <v>[105]={[2]={["GENERIC_MITHRIL"]=70;};[1]=1879381563;}; -- Lamp of the Harbinger</v>
      </c>
      <c r="M106" t="str">
        <f t="shared" si="11"/>
        <v>[105]={[1]="DIVIDER1"; [2]={["ENGLISH"] = ""; }; };</v>
      </c>
      <c r="N106" t="str">
        <f t="shared" si="12"/>
        <v>[105]={[1]="DIVIDER2"; [2]={["ENGLISH"] = ""; }; };</v>
      </c>
      <c r="O106" t="str">
        <f t="shared" si="13"/>
        <v/>
      </c>
      <c r="P106" t="str">
        <f t="shared" si="14"/>
        <v>[1]=1879381563;</v>
      </c>
      <c r="Q106" t="str">
        <f t="shared" si="15"/>
        <v/>
      </c>
      <c r="R106" t="str">
        <f t="shared" si="16"/>
        <v>[2]={["GENERIC_MITHRIL"]=70;};</v>
      </c>
      <c r="S106" t="str">
        <f t="shared" si="17"/>
        <v/>
      </c>
      <c r="T106" t="str">
        <f t="shared" si="18"/>
        <v>["GENERIC_MITHRIL"]=70;</v>
      </c>
    </row>
    <row r="107" spans="2:20" x14ac:dyDescent="0.25">
      <c r="C107" t="s">
        <v>87</v>
      </c>
      <c r="D107">
        <v>1879381562</v>
      </c>
      <c r="H107">
        <v>70</v>
      </c>
      <c r="L107" t="str">
        <f t="shared" si="10"/>
        <v>[106]={[2]={["GENERIC_MITHRIL"]=70;};[1]=1879381562;}; -- Harness of the Harbinger</v>
      </c>
      <c r="M107" t="str">
        <f t="shared" si="11"/>
        <v>[106]={[1]="DIVIDER1"; [2]={["ENGLISH"] = ""; }; };</v>
      </c>
      <c r="N107" t="str">
        <f t="shared" si="12"/>
        <v>[106]={[1]="DIVIDER2"; [2]={["ENGLISH"] = ""; }; };</v>
      </c>
      <c r="O107" t="str">
        <f t="shared" si="13"/>
        <v/>
      </c>
      <c r="P107" t="str">
        <f t="shared" si="14"/>
        <v>[1]=1879381562;</v>
      </c>
      <c r="Q107" t="str">
        <f t="shared" si="15"/>
        <v/>
      </c>
      <c r="R107" t="str">
        <f t="shared" si="16"/>
        <v>[2]={["GENERIC_MITHRIL"]=70;};</v>
      </c>
      <c r="S107" t="str">
        <f t="shared" si="17"/>
        <v/>
      </c>
      <c r="T107" t="str">
        <f t="shared" si="18"/>
        <v>["GENERIC_MITHRIL"]=70;</v>
      </c>
    </row>
    <row r="108" spans="2:20" x14ac:dyDescent="0.25">
      <c r="C108" t="s">
        <v>88</v>
      </c>
      <c r="D108">
        <v>1879381566</v>
      </c>
      <c r="H108">
        <v>70</v>
      </c>
      <c r="L108" t="str">
        <f t="shared" si="10"/>
        <v>[107]={[2]={["GENERIC_MITHRIL"]=70;};[1]=1879381566;}; -- Faceplate of the Harbinger</v>
      </c>
      <c r="M108" t="str">
        <f t="shared" si="11"/>
        <v>[107]={[1]="DIVIDER1"; [2]={["ENGLISH"] = ""; }; };</v>
      </c>
      <c r="N108" t="str">
        <f t="shared" si="12"/>
        <v>[107]={[1]="DIVIDER2"; [2]={["ENGLISH"] = ""; }; };</v>
      </c>
      <c r="O108" t="str">
        <f t="shared" si="13"/>
        <v/>
      </c>
      <c r="P108" t="str">
        <f t="shared" si="14"/>
        <v>[1]=1879381566;</v>
      </c>
      <c r="Q108" t="str">
        <f t="shared" si="15"/>
        <v/>
      </c>
      <c r="R108" t="str">
        <f t="shared" si="16"/>
        <v>[2]={["GENERIC_MITHRIL"]=70;};</v>
      </c>
      <c r="S108" t="str">
        <f t="shared" si="17"/>
        <v/>
      </c>
      <c r="T108" t="str">
        <f t="shared" si="18"/>
        <v>["GENERIC_MITHRIL"]=70;</v>
      </c>
    </row>
    <row r="109" spans="2:20" x14ac:dyDescent="0.25">
      <c r="C109" t="s">
        <v>89</v>
      </c>
      <c r="D109">
        <v>1879381564</v>
      </c>
      <c r="H109">
        <v>70</v>
      </c>
      <c r="L109" t="str">
        <f t="shared" si="10"/>
        <v>[108]={[2]={["GENERIC_MITHRIL"]=70;};[1]=1879381564;}; -- Tattered Feathers of the Harbinger</v>
      </c>
      <c r="M109" t="str">
        <f t="shared" si="11"/>
        <v>[108]={[1]="DIVIDER1"; [2]={["ENGLISH"] = ""; }; };</v>
      </c>
      <c r="N109" t="str">
        <f t="shared" si="12"/>
        <v>[108]={[1]="DIVIDER2"; [2]={["ENGLISH"] = ""; }; };</v>
      </c>
      <c r="O109" t="str">
        <f t="shared" si="13"/>
        <v/>
      </c>
      <c r="P109" t="str">
        <f t="shared" si="14"/>
        <v>[1]=1879381564;</v>
      </c>
      <c r="Q109" t="str">
        <f t="shared" si="15"/>
        <v/>
      </c>
      <c r="R109" t="str">
        <f t="shared" si="16"/>
        <v>[2]={["GENERIC_MITHRIL"]=70;};</v>
      </c>
      <c r="S109" t="str">
        <f t="shared" si="17"/>
        <v/>
      </c>
      <c r="T109" t="str">
        <f t="shared" si="18"/>
        <v>["GENERIC_MITHRIL"]=70;</v>
      </c>
    </row>
    <row r="110" spans="2:20" x14ac:dyDescent="0.25">
      <c r="C110" t="s">
        <v>90</v>
      </c>
      <c r="D110">
        <v>1879381565</v>
      </c>
      <c r="H110">
        <v>70</v>
      </c>
      <c r="L110" t="str">
        <f t="shared" si="10"/>
        <v>[109]={[2]={["GENERIC_MITHRIL"]=70;};[1]=1879381565;}; -- Saddle of the Harbinger</v>
      </c>
      <c r="M110" t="str">
        <f t="shared" si="11"/>
        <v>[109]={[1]="DIVIDER1"; [2]={["ENGLISH"] = ""; }; };</v>
      </c>
      <c r="N110" t="str">
        <f t="shared" si="12"/>
        <v>[109]={[1]="DIVIDER2"; [2]={["ENGLISH"] = ""; }; };</v>
      </c>
      <c r="O110" t="str">
        <f t="shared" si="13"/>
        <v/>
      </c>
      <c r="P110" t="str">
        <f t="shared" si="14"/>
        <v>[1]=1879381565;</v>
      </c>
      <c r="Q110" t="str">
        <f t="shared" si="15"/>
        <v/>
      </c>
      <c r="R110" t="str">
        <f t="shared" si="16"/>
        <v>[2]={["GENERIC_MITHRIL"]=70;};</v>
      </c>
      <c r="S110" t="str">
        <f t="shared" si="17"/>
        <v/>
      </c>
      <c r="T110" t="str">
        <f t="shared" si="18"/>
        <v>["GENERIC_MITHRIL"]=70;</v>
      </c>
    </row>
    <row r="111" spans="2:20" x14ac:dyDescent="0.25">
      <c r="C111" t="s">
        <v>91</v>
      </c>
      <c r="D111">
        <v>1879360378</v>
      </c>
      <c r="H111">
        <v>70</v>
      </c>
      <c r="L111" t="str">
        <f t="shared" si="10"/>
        <v>[110]={[2]={["GENERIC_MITHRIL"]=70;};[1]=1879360378;}; -- Steed of Eldar Autumn</v>
      </c>
      <c r="M111" t="str">
        <f t="shared" si="11"/>
        <v>[110]={[1]="DIVIDER1"; [2]={["ENGLISH"] = ""; }; };</v>
      </c>
      <c r="N111" t="str">
        <f t="shared" si="12"/>
        <v>[110]={[1]="DIVIDER2"; [2]={["ENGLISH"] = ""; }; };</v>
      </c>
      <c r="O111" t="str">
        <f t="shared" si="13"/>
        <v/>
      </c>
      <c r="P111" t="str">
        <f t="shared" si="14"/>
        <v>[1]=1879360378;</v>
      </c>
      <c r="Q111" t="str">
        <f t="shared" si="15"/>
        <v/>
      </c>
      <c r="R111" t="str">
        <f t="shared" si="16"/>
        <v>[2]={["GENERIC_MITHRIL"]=70;};</v>
      </c>
      <c r="S111" t="str">
        <f t="shared" si="17"/>
        <v/>
      </c>
      <c r="T111" t="str">
        <f t="shared" si="18"/>
        <v>["GENERIC_MITHRIL"]=70;</v>
      </c>
    </row>
    <row r="112" spans="2:20" x14ac:dyDescent="0.25">
      <c r="B112" t="s">
        <v>92</v>
      </c>
      <c r="L112" t="str">
        <f t="shared" si="10"/>
        <v>[111]={[1]="DIVIDER2"; [2]={["ENGLISH"] = "Fall Festival Steeds - Mithril II"; }; };</v>
      </c>
      <c r="M112" t="str">
        <f t="shared" si="11"/>
        <v>[111]={[1]="DIVIDER1"; [2]={["ENGLISH"] = ""; }; };</v>
      </c>
      <c r="N112" t="str">
        <f t="shared" si="12"/>
        <v>[111]={[1]="DIVIDER2"; [2]={["ENGLISH"] = "Fall Festival Steeds - Mithril II"; }; };</v>
      </c>
      <c r="O112" t="str">
        <f t="shared" si="13"/>
        <v/>
      </c>
      <c r="P112" t="str">
        <f t="shared" si="14"/>
        <v>[1]=;</v>
      </c>
      <c r="Q112" t="str">
        <f t="shared" si="15"/>
        <v/>
      </c>
      <c r="R112" t="str">
        <f t="shared" si="16"/>
        <v>[2]={};</v>
      </c>
      <c r="S112" t="str">
        <f t="shared" si="17"/>
        <v/>
      </c>
      <c r="T112" t="str">
        <f t="shared" si="18"/>
        <v/>
      </c>
    </row>
    <row r="113" spans="3:20" x14ac:dyDescent="0.25">
      <c r="C113" t="s">
        <v>93</v>
      </c>
      <c r="D113">
        <v>1879360375</v>
      </c>
      <c r="H113">
        <v>70</v>
      </c>
      <c r="L113" t="str">
        <f t="shared" si="10"/>
        <v>[112]={[2]={["GENERIC_MITHRIL"]=70;};[1]=1879360375;}; -- Caparison of Eldar Autumn</v>
      </c>
      <c r="M113" t="str">
        <f t="shared" si="11"/>
        <v>[112]={[1]="DIVIDER1"; [2]={["ENGLISH"] = ""; }; };</v>
      </c>
      <c r="N113" t="str">
        <f t="shared" si="12"/>
        <v>[112]={[1]="DIVIDER2"; [2]={["ENGLISH"] = ""; }; };</v>
      </c>
      <c r="O113" t="str">
        <f t="shared" si="13"/>
        <v/>
      </c>
      <c r="P113" t="str">
        <f t="shared" si="14"/>
        <v>[1]=1879360375;</v>
      </c>
      <c r="Q113" t="str">
        <f t="shared" si="15"/>
        <v/>
      </c>
      <c r="R113" t="str">
        <f t="shared" si="16"/>
        <v>[2]={["GENERIC_MITHRIL"]=70;};</v>
      </c>
      <c r="S113" t="str">
        <f t="shared" si="17"/>
        <v/>
      </c>
      <c r="T113" t="str">
        <f t="shared" si="18"/>
        <v>["GENERIC_MITHRIL"]=70;</v>
      </c>
    </row>
    <row r="114" spans="3:20" x14ac:dyDescent="0.25">
      <c r="C114" t="s">
        <v>94</v>
      </c>
      <c r="D114">
        <v>1879360370</v>
      </c>
      <c r="H114">
        <v>70</v>
      </c>
      <c r="L114" t="str">
        <f t="shared" si="10"/>
        <v>[113]={[2]={["GENERIC_MITHRIL"]=70;};[1]=1879360370;}; -- Head-piece of Eldar Autumn</v>
      </c>
      <c r="M114" t="str">
        <f t="shared" si="11"/>
        <v>[113]={[1]="DIVIDER1"; [2]={["ENGLISH"] = ""; }; };</v>
      </c>
      <c r="N114" t="str">
        <f t="shared" si="12"/>
        <v>[113]={[1]="DIVIDER2"; [2]={["ENGLISH"] = ""; }; };</v>
      </c>
      <c r="O114" t="str">
        <f t="shared" si="13"/>
        <v/>
      </c>
      <c r="P114" t="str">
        <f t="shared" si="14"/>
        <v>[1]=1879360370;</v>
      </c>
      <c r="Q114" t="str">
        <f t="shared" si="15"/>
        <v/>
      </c>
      <c r="R114" t="str">
        <f t="shared" si="16"/>
        <v>[2]={["GENERIC_MITHRIL"]=70;};</v>
      </c>
      <c r="S114" t="str">
        <f t="shared" si="17"/>
        <v/>
      </c>
      <c r="T114" t="str">
        <f t="shared" si="18"/>
        <v>["GENERIC_MITHRIL"]=70;</v>
      </c>
    </row>
    <row r="115" spans="3:20" x14ac:dyDescent="0.25">
      <c r="C115" t="s">
        <v>95</v>
      </c>
      <c r="D115">
        <v>1879360372</v>
      </c>
      <c r="H115">
        <v>70</v>
      </c>
      <c r="L115" t="str">
        <f t="shared" si="10"/>
        <v>[114]={[2]={["GENERIC_MITHRIL"]=70;};[1]=1879360372;}; -- Saddle of Eldar Autumn</v>
      </c>
      <c r="M115" t="str">
        <f t="shared" si="11"/>
        <v>[114]={[1]="DIVIDER1"; [2]={["ENGLISH"] = ""; }; };</v>
      </c>
      <c r="N115" t="str">
        <f t="shared" si="12"/>
        <v>[114]={[1]="DIVIDER2"; [2]={["ENGLISH"] = ""; }; };</v>
      </c>
      <c r="O115" t="str">
        <f t="shared" si="13"/>
        <v/>
      </c>
      <c r="P115" t="str">
        <f t="shared" si="14"/>
        <v>[1]=1879360372;</v>
      </c>
      <c r="Q115" t="str">
        <f t="shared" si="15"/>
        <v/>
      </c>
      <c r="R115" t="str">
        <f t="shared" si="16"/>
        <v>[2]={["GENERIC_MITHRIL"]=70;};</v>
      </c>
      <c r="S115" t="str">
        <f t="shared" si="17"/>
        <v/>
      </c>
      <c r="T115" t="str">
        <f t="shared" si="18"/>
        <v>["GENERIC_MITHRIL"]=70;</v>
      </c>
    </row>
    <row r="116" spans="3:20" x14ac:dyDescent="0.25">
      <c r="C116" t="s">
        <v>96</v>
      </c>
      <c r="D116">
        <v>1879360373</v>
      </c>
      <c r="H116">
        <v>70</v>
      </c>
      <c r="L116" t="str">
        <f t="shared" si="10"/>
        <v>[115]={[2]={["GENERIC_MITHRIL"]=70;};[1]=1879360373;}; -- Tail of Eldar Autumn</v>
      </c>
      <c r="M116" t="str">
        <f t="shared" si="11"/>
        <v>[115]={[1]="DIVIDER1"; [2]={["ENGLISH"] = ""; }; };</v>
      </c>
      <c r="N116" t="str">
        <f t="shared" si="12"/>
        <v>[115]={[1]="DIVIDER2"; [2]={["ENGLISH"] = ""; }; };</v>
      </c>
      <c r="O116" t="str">
        <f t="shared" si="13"/>
        <v/>
      </c>
      <c r="P116" t="str">
        <f t="shared" si="14"/>
        <v>[1]=1879360373;</v>
      </c>
      <c r="Q116" t="str">
        <f t="shared" si="15"/>
        <v/>
      </c>
      <c r="R116" t="str">
        <f t="shared" si="16"/>
        <v>[2]={["GENERIC_MITHRIL"]=70;};</v>
      </c>
      <c r="S116" t="str">
        <f t="shared" si="17"/>
        <v/>
      </c>
      <c r="T116" t="str">
        <f t="shared" si="18"/>
        <v>["GENERIC_MITHRIL"]=70;</v>
      </c>
    </row>
    <row r="117" spans="3:20" x14ac:dyDescent="0.25">
      <c r="C117" t="s">
        <v>97</v>
      </c>
      <c r="D117">
        <v>1879338653</v>
      </c>
      <c r="H117">
        <v>70</v>
      </c>
      <c r="L117" t="str">
        <f t="shared" si="10"/>
        <v>[116]={[2]={["GENERIC_MITHRIL"]=70;};[1]=1879338653;}; -- Steed of the Gloaming Autumn</v>
      </c>
      <c r="M117" t="str">
        <f t="shared" si="11"/>
        <v>[116]={[1]="DIVIDER1"; [2]={["ENGLISH"] = ""; }; };</v>
      </c>
      <c r="N117" t="str">
        <f t="shared" si="12"/>
        <v>[116]={[1]="DIVIDER2"; [2]={["ENGLISH"] = ""; }; };</v>
      </c>
      <c r="O117" t="str">
        <f t="shared" si="13"/>
        <v/>
      </c>
      <c r="P117" t="str">
        <f t="shared" si="14"/>
        <v>[1]=1879338653;</v>
      </c>
      <c r="Q117" t="str">
        <f t="shared" si="15"/>
        <v/>
      </c>
      <c r="R117" t="str">
        <f t="shared" si="16"/>
        <v>[2]={["GENERIC_MITHRIL"]=70;};</v>
      </c>
      <c r="S117" t="str">
        <f t="shared" si="17"/>
        <v/>
      </c>
      <c r="T117" t="str">
        <f t="shared" si="18"/>
        <v>["GENERIC_MITHRIL"]=70;</v>
      </c>
    </row>
    <row r="118" spans="3:20" x14ac:dyDescent="0.25">
      <c r="C118" t="s">
        <v>98</v>
      </c>
      <c r="D118">
        <v>1879338704</v>
      </c>
      <c r="H118">
        <v>70</v>
      </c>
      <c r="L118" t="str">
        <f t="shared" si="10"/>
        <v>[117]={[2]={["GENERIC_MITHRIL"]=70;};[1]=1879338704;}; -- Caparison of the Gloaming Autumn</v>
      </c>
      <c r="M118" t="str">
        <f t="shared" si="11"/>
        <v>[117]={[1]="DIVIDER1"; [2]={["ENGLISH"] = ""; }; };</v>
      </c>
      <c r="N118" t="str">
        <f t="shared" si="12"/>
        <v>[117]={[1]="DIVIDER2"; [2]={["ENGLISH"] = ""; }; };</v>
      </c>
      <c r="O118" t="str">
        <f t="shared" si="13"/>
        <v/>
      </c>
      <c r="P118" t="str">
        <f t="shared" si="14"/>
        <v>[1]=1879338704;</v>
      </c>
      <c r="Q118" t="str">
        <f t="shared" si="15"/>
        <v/>
      </c>
      <c r="R118" t="str">
        <f t="shared" si="16"/>
        <v>[2]={["GENERIC_MITHRIL"]=70;};</v>
      </c>
      <c r="S118" t="str">
        <f t="shared" si="17"/>
        <v/>
      </c>
      <c r="T118" t="str">
        <f t="shared" si="18"/>
        <v>["GENERIC_MITHRIL"]=70;</v>
      </c>
    </row>
    <row r="119" spans="3:20" x14ac:dyDescent="0.25">
      <c r="C119" t="s">
        <v>99</v>
      </c>
      <c r="D119">
        <v>1879338716</v>
      </c>
      <c r="H119">
        <v>70</v>
      </c>
      <c r="L119" t="str">
        <f t="shared" si="10"/>
        <v>[118]={[2]={["GENERIC_MITHRIL"]=70;};[1]=1879338716;}; -- Head of the Gloaming Autumn</v>
      </c>
      <c r="M119" t="str">
        <f t="shared" si="11"/>
        <v>[118]={[1]="DIVIDER1"; [2]={["ENGLISH"] = ""; }; };</v>
      </c>
      <c r="N119" t="str">
        <f t="shared" si="12"/>
        <v>[118]={[1]="DIVIDER2"; [2]={["ENGLISH"] = ""; }; };</v>
      </c>
      <c r="O119" t="str">
        <f t="shared" si="13"/>
        <v/>
      </c>
      <c r="P119" t="str">
        <f t="shared" si="14"/>
        <v>[1]=1879338716;</v>
      </c>
      <c r="Q119" t="str">
        <f t="shared" si="15"/>
        <v/>
      </c>
      <c r="R119" t="str">
        <f t="shared" si="16"/>
        <v>[2]={["GENERIC_MITHRIL"]=70;};</v>
      </c>
      <c r="S119" t="str">
        <f t="shared" si="17"/>
        <v/>
      </c>
      <c r="T119" t="str">
        <f t="shared" si="18"/>
        <v>["GENERIC_MITHRIL"]=70;</v>
      </c>
    </row>
    <row r="120" spans="3:20" x14ac:dyDescent="0.25">
      <c r="C120" t="s">
        <v>100</v>
      </c>
      <c r="D120">
        <v>1879338720</v>
      </c>
      <c r="H120">
        <v>70</v>
      </c>
      <c r="L120" t="str">
        <f t="shared" si="10"/>
        <v>[119]={[2]={["GENERIC_MITHRIL"]=70;};[1]=1879338720;}; -- Leggings of the Gloaming Autumn</v>
      </c>
      <c r="M120" t="str">
        <f t="shared" si="11"/>
        <v>[119]={[1]="DIVIDER1"; [2]={["ENGLISH"] = ""; }; };</v>
      </c>
      <c r="N120" t="str">
        <f t="shared" si="12"/>
        <v>[119]={[1]="DIVIDER2"; [2]={["ENGLISH"] = ""; }; };</v>
      </c>
      <c r="O120" t="str">
        <f t="shared" si="13"/>
        <v/>
      </c>
      <c r="P120" t="str">
        <f t="shared" si="14"/>
        <v>[1]=1879338720;</v>
      </c>
      <c r="Q120" t="str">
        <f t="shared" si="15"/>
        <v/>
      </c>
      <c r="R120" t="str">
        <f t="shared" si="16"/>
        <v>[2]={["GENERIC_MITHRIL"]=70;};</v>
      </c>
      <c r="S120" t="str">
        <f t="shared" si="17"/>
        <v/>
      </c>
      <c r="T120" t="str">
        <f t="shared" si="18"/>
        <v>["GENERIC_MITHRIL"]=70;</v>
      </c>
    </row>
    <row r="121" spans="3:20" x14ac:dyDescent="0.25">
      <c r="C121" t="s">
        <v>101</v>
      </c>
      <c r="D121">
        <v>1879338721</v>
      </c>
      <c r="H121">
        <v>70</v>
      </c>
      <c r="L121" t="str">
        <f t="shared" si="10"/>
        <v>[120]={[2]={["GENERIC_MITHRIL"]=70;};[1]=1879338721;}; -- Saddle of the Gloaming Autumn</v>
      </c>
      <c r="M121" t="str">
        <f t="shared" si="11"/>
        <v>[120]={[1]="DIVIDER1"; [2]={["ENGLISH"] = ""; }; };</v>
      </c>
      <c r="N121" t="str">
        <f t="shared" si="12"/>
        <v>[120]={[1]="DIVIDER2"; [2]={["ENGLISH"] = ""; }; };</v>
      </c>
      <c r="O121" t="str">
        <f t="shared" si="13"/>
        <v/>
      </c>
      <c r="P121" t="str">
        <f t="shared" si="14"/>
        <v>[1]=1879338721;</v>
      </c>
      <c r="Q121" t="str">
        <f t="shared" si="15"/>
        <v/>
      </c>
      <c r="R121" t="str">
        <f t="shared" si="16"/>
        <v>[2]={["GENERIC_MITHRIL"]=70;};</v>
      </c>
      <c r="S121" t="str">
        <f t="shared" si="17"/>
        <v/>
      </c>
      <c r="T121" t="str">
        <f t="shared" si="18"/>
        <v>["GENERIC_MITHRIL"]=70;</v>
      </c>
    </row>
    <row r="122" spans="3:20" x14ac:dyDescent="0.25">
      <c r="C122" t="s">
        <v>102</v>
      </c>
      <c r="D122">
        <v>1879338723</v>
      </c>
      <c r="H122">
        <v>70</v>
      </c>
      <c r="L122" t="str">
        <f t="shared" si="10"/>
        <v>[121]={[2]={["GENERIC_MITHRIL"]=70;};[1]=1879338723;}; -- Tail of the Gloaming Autumn</v>
      </c>
      <c r="M122" t="str">
        <f t="shared" si="11"/>
        <v>[121]={[1]="DIVIDER1"; [2]={["ENGLISH"] = ""; }; };</v>
      </c>
      <c r="N122" t="str">
        <f t="shared" si="12"/>
        <v>[121]={[1]="DIVIDER2"; [2]={["ENGLISH"] = ""; }; };</v>
      </c>
      <c r="O122" t="str">
        <f t="shared" si="13"/>
        <v/>
      </c>
      <c r="P122" t="str">
        <f t="shared" si="14"/>
        <v>[1]=1879338723;</v>
      </c>
      <c r="Q122" t="str">
        <f t="shared" si="15"/>
        <v/>
      </c>
      <c r="R122" t="str">
        <f t="shared" si="16"/>
        <v>[2]={["GENERIC_MITHRIL"]=70;};</v>
      </c>
      <c r="S122" t="str">
        <f t="shared" si="17"/>
        <v/>
      </c>
      <c r="T122" t="str">
        <f t="shared" si="18"/>
        <v>["GENERIC_MITHRIL"]=70;</v>
      </c>
    </row>
    <row r="123" spans="3:20" x14ac:dyDescent="0.25">
      <c r="C123" t="s">
        <v>103</v>
      </c>
      <c r="D123">
        <v>1879328779</v>
      </c>
      <c r="H123">
        <v>70</v>
      </c>
      <c r="L123" t="str">
        <f t="shared" si="10"/>
        <v>[122]={[2]={["GENERIC_MITHRIL"]=70;};[1]=1879328779;}; -- Steed of the Anórien Autumn</v>
      </c>
      <c r="M123" t="str">
        <f t="shared" si="11"/>
        <v>[122]={[1]="DIVIDER1"; [2]={["ENGLISH"] = ""; }; };</v>
      </c>
      <c r="N123" t="str">
        <f t="shared" si="12"/>
        <v>[122]={[1]="DIVIDER2"; [2]={["ENGLISH"] = ""; }; };</v>
      </c>
      <c r="O123" t="str">
        <f t="shared" si="13"/>
        <v/>
      </c>
      <c r="P123" t="str">
        <f t="shared" si="14"/>
        <v>[1]=1879328779;</v>
      </c>
      <c r="Q123" t="str">
        <f t="shared" si="15"/>
        <v/>
      </c>
      <c r="R123" t="str">
        <f t="shared" si="16"/>
        <v>[2]={["GENERIC_MITHRIL"]=70;};</v>
      </c>
      <c r="S123" t="str">
        <f t="shared" si="17"/>
        <v/>
      </c>
      <c r="T123" t="str">
        <f t="shared" si="18"/>
        <v>["GENERIC_MITHRIL"]=70;</v>
      </c>
    </row>
    <row r="124" spans="3:20" x14ac:dyDescent="0.25">
      <c r="C124" t="s">
        <v>104</v>
      </c>
      <c r="D124">
        <v>1879328781</v>
      </c>
      <c r="H124">
        <v>70</v>
      </c>
      <c r="L124" t="str">
        <f t="shared" si="10"/>
        <v>[123]={[2]={["GENERIC_MITHRIL"]=70;};[1]=1879328781;}; -- Caparison of the Anórien Autumn</v>
      </c>
      <c r="M124" t="str">
        <f t="shared" si="11"/>
        <v>[123]={[1]="DIVIDER1"; [2]={["ENGLISH"] = ""; }; };</v>
      </c>
      <c r="N124" t="str">
        <f t="shared" si="12"/>
        <v>[123]={[1]="DIVIDER2"; [2]={["ENGLISH"] = ""; }; };</v>
      </c>
      <c r="O124" t="str">
        <f t="shared" si="13"/>
        <v/>
      </c>
      <c r="P124" t="str">
        <f t="shared" si="14"/>
        <v>[1]=1879328781;</v>
      </c>
      <c r="Q124" t="str">
        <f t="shared" si="15"/>
        <v/>
      </c>
      <c r="R124" t="str">
        <f t="shared" si="16"/>
        <v>[2]={["GENERIC_MITHRIL"]=70;};</v>
      </c>
      <c r="S124" t="str">
        <f t="shared" si="17"/>
        <v/>
      </c>
      <c r="T124" t="str">
        <f t="shared" si="18"/>
        <v>["GENERIC_MITHRIL"]=70;</v>
      </c>
    </row>
    <row r="125" spans="3:20" x14ac:dyDescent="0.25">
      <c r="C125" t="s">
        <v>105</v>
      </c>
      <c r="D125">
        <v>1879315554</v>
      </c>
      <c r="H125">
        <v>70</v>
      </c>
      <c r="L125" t="str">
        <f t="shared" si="10"/>
        <v>[124]={[2]={["GENERIC_MITHRIL"]=70;};[1]=1879315554;}; -- Steed of the Autumn Sun</v>
      </c>
      <c r="M125" t="str">
        <f t="shared" si="11"/>
        <v>[124]={[1]="DIVIDER1"; [2]={["ENGLISH"] = ""; }; };</v>
      </c>
      <c r="N125" t="str">
        <f t="shared" si="12"/>
        <v>[124]={[1]="DIVIDER2"; [2]={["ENGLISH"] = ""; }; };</v>
      </c>
      <c r="O125" t="str">
        <f t="shared" si="13"/>
        <v/>
      </c>
      <c r="P125" t="str">
        <f t="shared" si="14"/>
        <v>[1]=1879315554;</v>
      </c>
      <c r="Q125" t="str">
        <f t="shared" si="15"/>
        <v/>
      </c>
      <c r="R125" t="str">
        <f t="shared" si="16"/>
        <v>[2]={["GENERIC_MITHRIL"]=70;};</v>
      </c>
      <c r="S125" t="str">
        <f t="shared" si="17"/>
        <v/>
      </c>
      <c r="T125" t="str">
        <f t="shared" si="18"/>
        <v>["GENERIC_MITHRIL"]=70;</v>
      </c>
    </row>
    <row r="126" spans="3:20" x14ac:dyDescent="0.25">
      <c r="C126" t="s">
        <v>106</v>
      </c>
      <c r="D126">
        <v>1879315551</v>
      </c>
      <c r="H126">
        <v>70</v>
      </c>
      <c r="L126" t="str">
        <f t="shared" si="10"/>
        <v>[125]={[2]={["GENERIC_MITHRIL"]=70;};[1]=1879315551;}; -- Caparison of the Autumn Sun</v>
      </c>
      <c r="M126" t="str">
        <f t="shared" si="11"/>
        <v>[125]={[1]="DIVIDER1"; [2]={["ENGLISH"] = ""; }; };</v>
      </c>
      <c r="N126" t="str">
        <f t="shared" si="12"/>
        <v>[125]={[1]="DIVIDER2"; [2]={["ENGLISH"] = ""; }; };</v>
      </c>
      <c r="O126" t="str">
        <f t="shared" si="13"/>
        <v/>
      </c>
      <c r="P126" t="str">
        <f t="shared" si="14"/>
        <v>[1]=1879315551;</v>
      </c>
      <c r="Q126" t="str">
        <f t="shared" si="15"/>
        <v/>
      </c>
      <c r="R126" t="str">
        <f t="shared" si="16"/>
        <v>[2]={["GENERIC_MITHRIL"]=70;};</v>
      </c>
      <c r="S126" t="str">
        <f t="shared" si="17"/>
        <v/>
      </c>
      <c r="T126" t="str">
        <f t="shared" si="18"/>
        <v>["GENERIC_MITHRIL"]=70;</v>
      </c>
    </row>
    <row r="127" spans="3:20" x14ac:dyDescent="0.25">
      <c r="C127" t="s">
        <v>107</v>
      </c>
      <c r="D127">
        <v>1879277202</v>
      </c>
      <c r="H127">
        <v>70</v>
      </c>
      <c r="L127" t="str">
        <f t="shared" si="10"/>
        <v>[126]={[2]={["GENERIC_MITHRIL"]=70;};[1]=1879277202;}; -- Spooky Steed of the Bat</v>
      </c>
      <c r="M127" t="str">
        <f t="shared" si="11"/>
        <v>[126]={[1]="DIVIDER1"; [2]={["ENGLISH"] = ""; }; };</v>
      </c>
      <c r="N127" t="str">
        <f t="shared" si="12"/>
        <v>[126]={[1]="DIVIDER2"; [2]={["ENGLISH"] = ""; }; };</v>
      </c>
      <c r="O127" t="str">
        <f t="shared" si="13"/>
        <v/>
      </c>
      <c r="P127" t="str">
        <f t="shared" si="14"/>
        <v>[1]=1879277202;</v>
      </c>
      <c r="Q127" t="str">
        <f t="shared" si="15"/>
        <v/>
      </c>
      <c r="R127" t="str">
        <f t="shared" si="16"/>
        <v>[2]={["GENERIC_MITHRIL"]=70;};</v>
      </c>
      <c r="S127" t="str">
        <f t="shared" si="17"/>
        <v/>
      </c>
      <c r="T127" t="str">
        <f t="shared" si="18"/>
        <v>["GENERIC_MITHRIL"]=70;</v>
      </c>
    </row>
    <row r="128" spans="3:20" x14ac:dyDescent="0.25">
      <c r="C128" t="s">
        <v>108</v>
      </c>
      <c r="D128">
        <v>1879277240</v>
      </c>
      <c r="H128">
        <v>70</v>
      </c>
      <c r="L128" t="str">
        <f t="shared" si="10"/>
        <v>[127]={[2]={["GENERIC_MITHRIL"]=70;};[1]=1879277240;}; -- Spooky Caparison of the Bat</v>
      </c>
      <c r="M128" t="str">
        <f t="shared" si="11"/>
        <v>[127]={[1]="DIVIDER1"; [2]={["ENGLISH"] = ""; }; };</v>
      </c>
      <c r="N128" t="str">
        <f t="shared" si="12"/>
        <v>[127]={[1]="DIVIDER2"; [2]={["ENGLISH"] = ""; }; };</v>
      </c>
      <c r="O128" t="str">
        <f t="shared" si="13"/>
        <v/>
      </c>
      <c r="P128" t="str">
        <f t="shared" si="14"/>
        <v>[1]=1879277240;</v>
      </c>
      <c r="Q128" t="str">
        <f t="shared" si="15"/>
        <v/>
      </c>
      <c r="R128" t="str">
        <f t="shared" si="16"/>
        <v>[2]={["GENERIC_MITHRIL"]=70;};</v>
      </c>
      <c r="S128" t="str">
        <f t="shared" si="17"/>
        <v/>
      </c>
      <c r="T128" t="str">
        <f t="shared" si="18"/>
        <v>["GENERIC_MITHRIL"]=70;</v>
      </c>
    </row>
    <row r="129" spans="2:20" x14ac:dyDescent="0.25">
      <c r="C129" t="s">
        <v>109</v>
      </c>
      <c r="D129">
        <v>1879255353</v>
      </c>
      <c r="H129">
        <v>70</v>
      </c>
      <c r="L129" t="str">
        <f t="shared" si="10"/>
        <v>[128]={[2]={["GENERIC_MITHRIL"]=70;};[1]=1879255353;}; -- Harvest-brew Steed</v>
      </c>
      <c r="M129" t="str">
        <f t="shared" si="11"/>
        <v>[128]={[1]="DIVIDER1"; [2]={["ENGLISH"] = ""; }; };</v>
      </c>
      <c r="N129" t="str">
        <f t="shared" si="12"/>
        <v>[128]={[1]="DIVIDER2"; [2]={["ENGLISH"] = ""; }; };</v>
      </c>
      <c r="O129" t="str">
        <f t="shared" si="13"/>
        <v/>
      </c>
      <c r="P129" t="str">
        <f t="shared" si="14"/>
        <v>[1]=1879255353;</v>
      </c>
      <c r="Q129" t="str">
        <f t="shared" si="15"/>
        <v/>
      </c>
      <c r="R129" t="str">
        <f t="shared" si="16"/>
        <v>[2]={["GENERIC_MITHRIL"]=70;};</v>
      </c>
      <c r="S129" t="str">
        <f t="shared" si="17"/>
        <v/>
      </c>
      <c r="T129" t="str">
        <f t="shared" si="18"/>
        <v>["GENERIC_MITHRIL"]=70;</v>
      </c>
    </row>
    <row r="130" spans="2:20" x14ac:dyDescent="0.25">
      <c r="C130" t="s">
        <v>110</v>
      </c>
      <c r="D130">
        <v>1879099081</v>
      </c>
      <c r="H130">
        <v>70</v>
      </c>
      <c r="L130" t="str">
        <f t="shared" si="10"/>
        <v>[129]={[2]={["GENERIC_MITHRIL"]=70;};[1]=1879099081;}; -- Harvestmath Steed</v>
      </c>
      <c r="M130" t="str">
        <f t="shared" si="11"/>
        <v>[129]={[1]="DIVIDER1"; [2]={["ENGLISH"] = ""; }; };</v>
      </c>
      <c r="N130" t="str">
        <f t="shared" si="12"/>
        <v>[129]={[1]="DIVIDER2"; [2]={["ENGLISH"] = ""; }; };</v>
      </c>
      <c r="O130" t="str">
        <f t="shared" si="13"/>
        <v/>
      </c>
      <c r="P130" t="str">
        <f t="shared" si="14"/>
        <v>[1]=1879099081;</v>
      </c>
      <c r="Q130" t="str">
        <f t="shared" si="15"/>
        <v/>
      </c>
      <c r="R130" t="str">
        <f t="shared" si="16"/>
        <v>[2]={["GENERIC_MITHRIL"]=70;};</v>
      </c>
      <c r="S130" t="str">
        <f t="shared" si="17"/>
        <v/>
      </c>
      <c r="T130" t="str">
        <f t="shared" si="18"/>
        <v>["GENERIC_MITHRIL"]=70;</v>
      </c>
    </row>
    <row r="131" spans="2:20" x14ac:dyDescent="0.25">
      <c r="C131" t="s">
        <v>111</v>
      </c>
      <c r="D131">
        <v>1879173351</v>
      </c>
      <c r="H131">
        <v>70</v>
      </c>
      <c r="L131" t="str">
        <f t="shared" ref="L131:L194" si="19">IF(
  NOT(ISBLANK(A131)),
  M131,
  IF(
    NOT(ISBLANK(B131)),
    N131,
    CONCATENATE("[",ROW()-1,"]={",Q131,R131,P131,"};"," -- ",C131)))</f>
        <v>[130]={[2]={["GENERIC_MITHRIL"]=70;};[1]=1879173351;}; -- Sable Harvestmath Steed</v>
      </c>
      <c r="M131" t="str">
        <f t="shared" ref="M131:M194" si="20">CONCATENATE("[",ROW()-1,"]={[1]=""DIVIDER1""; [2]={[""ENGLISH""] = """,A131,"""; }; ",O131,"};")</f>
        <v>[130]={[1]="DIVIDER1"; [2]={["ENGLISH"] = ""; }; };</v>
      </c>
      <c r="N131" t="str">
        <f t="shared" ref="N131:N194" si="21">CONCATENATE("[",ROW()-1,"]={[1]=""DIVIDER2""; [2]={[""ENGLISH""] = """,B131,"""; }; ",O131,"};")</f>
        <v>[130]={[1]="DIVIDER2"; [2]={["ENGLISH"] = ""; }; };</v>
      </c>
      <c r="O131" t="str">
        <f t="shared" ref="O131:O194" si="22">IF(LEN(J131)&gt;0,CONCATENATE("[""DIVIDER_HEIGHT""] = ",J131,";"),"")</f>
        <v/>
      </c>
      <c r="P131" t="str">
        <f t="shared" ref="P131:P194" si="23">CONCATENATE("[1]=",D131,";")</f>
        <v>[1]=1879173351;</v>
      </c>
      <c r="Q131" t="str">
        <f t="shared" ref="Q131:Q194" si="24">IF(F131&gt;0,CONCATENATE("[3]=",F131,";"),"")</f>
        <v/>
      </c>
      <c r="R131" t="str">
        <f t="shared" ref="R131:R194" si="25">_xlfn.TEXTJOIN("",TRUE,"[2]={",S131:T131,"};")</f>
        <v>[2]={["GENERIC_MITHRIL"]=70;};</v>
      </c>
      <c r="S131" t="str">
        <f t="shared" ref="S131:S194" si="26">IF(G131&gt;0,CONCATENATE("[""",G$1,"""]=",G131,";"),"")</f>
        <v/>
      </c>
      <c r="T131" t="str">
        <f t="shared" ref="T131:T194" si="27">IF(H131&gt;0,CONCATENATE("[""",H$1,"""]=",H131,";"),"")</f>
        <v>["GENERIC_MITHRIL"]=70;</v>
      </c>
    </row>
    <row r="132" spans="2:20" x14ac:dyDescent="0.25">
      <c r="C132" t="s">
        <v>112</v>
      </c>
      <c r="D132">
        <v>1879220550</v>
      </c>
      <c r="H132">
        <v>70</v>
      </c>
      <c r="L132" t="str">
        <f t="shared" si="19"/>
        <v>[131]={[2]={["GENERIC_MITHRIL"]=70;};[1]=1879220550;}; -- Autumnfest Steed</v>
      </c>
      <c r="M132" t="str">
        <f t="shared" si="20"/>
        <v>[131]={[1]="DIVIDER1"; [2]={["ENGLISH"] = ""; }; };</v>
      </c>
      <c r="N132" t="str">
        <f t="shared" si="21"/>
        <v>[131]={[1]="DIVIDER2"; [2]={["ENGLISH"] = ""; }; };</v>
      </c>
      <c r="O132" t="str">
        <f t="shared" si="22"/>
        <v/>
      </c>
      <c r="P132" t="str">
        <f t="shared" si="23"/>
        <v>[1]=1879220550;</v>
      </c>
      <c r="Q132" t="str">
        <f t="shared" si="24"/>
        <v/>
      </c>
      <c r="R132" t="str">
        <f t="shared" si="25"/>
        <v>[2]={["GENERIC_MITHRIL"]=70;};</v>
      </c>
      <c r="S132" t="str">
        <f t="shared" si="26"/>
        <v/>
      </c>
      <c r="T132" t="str">
        <f t="shared" si="27"/>
        <v>["GENERIC_MITHRIL"]=70;</v>
      </c>
    </row>
    <row r="133" spans="2:20" x14ac:dyDescent="0.25">
      <c r="B133" t="s">
        <v>113</v>
      </c>
      <c r="L133" t="str">
        <f t="shared" si="19"/>
        <v>[132]={[1]="DIVIDER2"; [2]={["ENGLISH"] = "Essences"; }; };</v>
      </c>
      <c r="M133" t="str">
        <f t="shared" si="20"/>
        <v>[132]={[1]="DIVIDER1"; [2]={["ENGLISH"] = ""; }; };</v>
      </c>
      <c r="N133" t="str">
        <f t="shared" si="21"/>
        <v>[132]={[1]="DIVIDER2"; [2]={["ENGLISH"] = "Essences"; }; };</v>
      </c>
      <c r="O133" t="str">
        <f t="shared" si="22"/>
        <v/>
      </c>
      <c r="P133" t="str">
        <f t="shared" si="23"/>
        <v>[1]=;</v>
      </c>
      <c r="Q133" t="str">
        <f t="shared" si="24"/>
        <v/>
      </c>
      <c r="R133" t="str">
        <f t="shared" si="25"/>
        <v>[2]={};</v>
      </c>
      <c r="S133" t="str">
        <f t="shared" si="26"/>
        <v/>
      </c>
      <c r="T133" t="str">
        <f t="shared" si="27"/>
        <v/>
      </c>
    </row>
    <row r="134" spans="2:20" x14ac:dyDescent="0.25">
      <c r="C134" t="s">
        <v>114</v>
      </c>
      <c r="D134">
        <v>1879439435</v>
      </c>
      <c r="G134">
        <v>140</v>
      </c>
      <c r="L134" t="str">
        <f t="shared" si="19"/>
        <v>[133]={[2]={["HARVESTMATH_FESTIVAL"]=140;};[1]=1879439435;}; -- Essence Reclamation Scroll</v>
      </c>
      <c r="M134" t="str">
        <f t="shared" si="20"/>
        <v>[133]={[1]="DIVIDER1"; [2]={["ENGLISH"] = ""; }; };</v>
      </c>
      <c r="N134" t="str">
        <f t="shared" si="21"/>
        <v>[133]={[1]="DIVIDER2"; [2]={["ENGLISH"] = ""; }; };</v>
      </c>
      <c r="O134" t="str">
        <f t="shared" si="22"/>
        <v/>
      </c>
      <c r="P134" t="str">
        <f t="shared" si="23"/>
        <v>[1]=1879439435;</v>
      </c>
      <c r="Q134" t="str">
        <f t="shared" si="24"/>
        <v/>
      </c>
      <c r="R134" t="str">
        <f t="shared" si="25"/>
        <v>[2]={["HARVESTMATH_FESTIVAL"]=140;};</v>
      </c>
      <c r="S134" t="str">
        <f t="shared" si="26"/>
        <v>["HARVESTMATH_FESTIVAL"]=140;</v>
      </c>
      <c r="T134" t="str">
        <f t="shared" si="27"/>
        <v/>
      </c>
    </row>
    <row r="135" spans="2:20" x14ac:dyDescent="0.25">
      <c r="B135" t="s">
        <v>115</v>
      </c>
      <c r="L135" t="str">
        <f t="shared" si="19"/>
        <v>[134]={[1]="DIVIDER2"; [2]={["ENGLISH"] = "Tunics, Trousers, Dresses, and Outfits"; }; };</v>
      </c>
      <c r="M135" t="str">
        <f t="shared" si="20"/>
        <v>[134]={[1]="DIVIDER1"; [2]={["ENGLISH"] = ""; }; };</v>
      </c>
      <c r="N135" t="str">
        <f t="shared" si="21"/>
        <v>[134]={[1]="DIVIDER2"; [2]={["ENGLISH"] = "Tunics, Trousers, Dresses, and Outfits"; }; };</v>
      </c>
      <c r="O135" t="str">
        <f t="shared" si="22"/>
        <v/>
      </c>
      <c r="P135" t="str">
        <f t="shared" si="23"/>
        <v>[1]=;</v>
      </c>
      <c r="Q135" t="str">
        <f t="shared" si="24"/>
        <v/>
      </c>
      <c r="R135" t="str">
        <f t="shared" si="25"/>
        <v>[2]={};</v>
      </c>
      <c r="S135" t="str">
        <f t="shared" si="26"/>
        <v/>
      </c>
      <c r="T135" t="str">
        <f t="shared" si="27"/>
        <v/>
      </c>
    </row>
    <row r="136" spans="2:20" x14ac:dyDescent="0.25">
      <c r="C136" t="s">
        <v>245</v>
      </c>
      <c r="D136">
        <v>1879536595</v>
      </c>
      <c r="G136">
        <v>24</v>
      </c>
      <c r="L136" t="str">
        <f t="shared" si="19"/>
        <v>[135]={[2]={["HARVESTMATH_FESTIVAL"]=24;};[1]=1879536595;}; -- Robe of the Midnight Raven</v>
      </c>
      <c r="M136" t="str">
        <f t="shared" si="20"/>
        <v>[135]={[1]="DIVIDER1"; [2]={["ENGLISH"] = ""; }; };</v>
      </c>
      <c r="N136" t="str">
        <f t="shared" si="21"/>
        <v>[135]={[1]="DIVIDER2"; [2]={["ENGLISH"] = ""; }; };</v>
      </c>
      <c r="O136" t="str">
        <f t="shared" si="22"/>
        <v/>
      </c>
      <c r="P136" t="str">
        <f t="shared" si="23"/>
        <v>[1]=1879536595;</v>
      </c>
      <c r="Q136" t="str">
        <f t="shared" si="24"/>
        <v/>
      </c>
      <c r="R136" t="str">
        <f t="shared" si="25"/>
        <v>[2]={["HARVESTMATH_FESTIVAL"]=24;};</v>
      </c>
      <c r="S136" t="str">
        <f t="shared" si="26"/>
        <v>["HARVESTMATH_FESTIVAL"]=24;</v>
      </c>
      <c r="T136" t="str">
        <f t="shared" si="27"/>
        <v/>
      </c>
    </row>
    <row r="137" spans="2:20" x14ac:dyDescent="0.25">
      <c r="C137" t="s">
        <v>20</v>
      </c>
      <c r="D137">
        <v>1879516614</v>
      </c>
      <c r="G137">
        <v>24</v>
      </c>
      <c r="L137" t="str">
        <f t="shared" si="19"/>
        <v>[136]={[2]={["HARVESTMATH_FESTIVAL"]=24;};[1]=1879516614;}; -- Cobweb Robe</v>
      </c>
      <c r="M137" t="str">
        <f t="shared" si="20"/>
        <v>[136]={[1]="DIVIDER1"; [2]={["ENGLISH"] = ""; }; };</v>
      </c>
      <c r="N137" t="str">
        <f t="shared" si="21"/>
        <v>[136]={[1]="DIVIDER2"; [2]={["ENGLISH"] = ""; }; };</v>
      </c>
      <c r="O137" t="str">
        <f t="shared" si="22"/>
        <v/>
      </c>
      <c r="P137" t="str">
        <f t="shared" si="23"/>
        <v>[1]=1879516614;</v>
      </c>
      <c r="Q137" t="str">
        <f t="shared" si="24"/>
        <v/>
      </c>
      <c r="R137" t="str">
        <f t="shared" si="25"/>
        <v>[2]={["HARVESTMATH_FESTIVAL"]=24;};</v>
      </c>
      <c r="S137" t="str">
        <f t="shared" si="26"/>
        <v>["HARVESTMATH_FESTIVAL"]=24;</v>
      </c>
      <c r="T137" t="str">
        <f t="shared" si="27"/>
        <v/>
      </c>
    </row>
    <row r="138" spans="2:20" x14ac:dyDescent="0.25">
      <c r="C138" t="s">
        <v>116</v>
      </c>
      <c r="D138">
        <v>1879493402</v>
      </c>
      <c r="G138">
        <v>24</v>
      </c>
      <c r="L138" t="str">
        <f t="shared" si="19"/>
        <v>[137]={[2]={["HARVESTMATH_FESTIVAL"]=24;};[1]=1879493402;}; -- Robe of Masked Wisdom</v>
      </c>
      <c r="M138" t="str">
        <f t="shared" si="20"/>
        <v>[137]={[1]="DIVIDER1"; [2]={["ENGLISH"] = ""; }; };</v>
      </c>
      <c r="N138" t="str">
        <f t="shared" si="21"/>
        <v>[137]={[1]="DIVIDER2"; [2]={["ENGLISH"] = ""; }; };</v>
      </c>
      <c r="O138" t="str">
        <f t="shared" si="22"/>
        <v/>
      </c>
      <c r="P138" t="str">
        <f t="shared" si="23"/>
        <v>[1]=1879493402;</v>
      </c>
      <c r="Q138" t="str">
        <f t="shared" si="24"/>
        <v/>
      </c>
      <c r="R138" t="str">
        <f t="shared" si="25"/>
        <v>[2]={["HARVESTMATH_FESTIVAL"]=24;};</v>
      </c>
      <c r="S138" t="str">
        <f t="shared" si="26"/>
        <v>["HARVESTMATH_FESTIVAL"]=24;</v>
      </c>
      <c r="T138" t="str">
        <f t="shared" si="27"/>
        <v/>
      </c>
    </row>
    <row r="139" spans="2:20" x14ac:dyDescent="0.25">
      <c r="C139" t="s">
        <v>117</v>
      </c>
      <c r="D139">
        <v>1879470524</v>
      </c>
      <c r="G139">
        <v>24</v>
      </c>
      <c r="L139" t="str">
        <f t="shared" si="19"/>
        <v>[138]={[2]={["HARVESTMATH_FESTIVAL"]=24;};[1]=1879470524;}; -- Tunic of the Forest-spirit</v>
      </c>
      <c r="M139" t="str">
        <f t="shared" si="20"/>
        <v>[138]={[1]="DIVIDER1"; [2]={["ENGLISH"] = ""; }; };</v>
      </c>
      <c r="N139" t="str">
        <f t="shared" si="21"/>
        <v>[138]={[1]="DIVIDER2"; [2]={["ENGLISH"] = ""; }; };</v>
      </c>
      <c r="O139" t="str">
        <f t="shared" si="22"/>
        <v/>
      </c>
      <c r="P139" t="str">
        <f t="shared" si="23"/>
        <v>[1]=1879470524;</v>
      </c>
      <c r="Q139" t="str">
        <f t="shared" si="24"/>
        <v/>
      </c>
      <c r="R139" t="str">
        <f t="shared" si="25"/>
        <v>[2]={["HARVESTMATH_FESTIVAL"]=24;};</v>
      </c>
      <c r="S139" t="str">
        <f t="shared" si="26"/>
        <v>["HARVESTMATH_FESTIVAL"]=24;</v>
      </c>
      <c r="T139" t="str">
        <f t="shared" si="27"/>
        <v/>
      </c>
    </row>
    <row r="140" spans="2:20" x14ac:dyDescent="0.25">
      <c r="C140" t="s">
        <v>118</v>
      </c>
      <c r="D140">
        <v>1879412779</v>
      </c>
      <c r="G140">
        <v>24</v>
      </c>
      <c r="L140" t="str">
        <f t="shared" si="19"/>
        <v>[139]={[2]={["HARVESTMATH_FESTIVAL"]=24;};[1]=1879412779;}; -- Vestments of the Autumn Sage</v>
      </c>
      <c r="M140" t="str">
        <f t="shared" si="20"/>
        <v>[139]={[1]="DIVIDER1"; [2]={["ENGLISH"] = ""; }; };</v>
      </c>
      <c r="N140" t="str">
        <f t="shared" si="21"/>
        <v>[139]={[1]="DIVIDER2"; [2]={["ENGLISH"] = ""; }; };</v>
      </c>
      <c r="O140" t="str">
        <f t="shared" si="22"/>
        <v/>
      </c>
      <c r="P140" t="str">
        <f t="shared" si="23"/>
        <v>[1]=1879412779;</v>
      </c>
      <c r="Q140" t="str">
        <f t="shared" si="24"/>
        <v/>
      </c>
      <c r="R140" t="str">
        <f t="shared" si="25"/>
        <v>[2]={["HARVESTMATH_FESTIVAL"]=24;};</v>
      </c>
      <c r="S140" t="str">
        <f t="shared" si="26"/>
        <v>["HARVESTMATH_FESTIVAL"]=24;</v>
      </c>
      <c r="T140" t="str">
        <f t="shared" si="27"/>
        <v/>
      </c>
    </row>
    <row r="141" spans="2:20" x14ac:dyDescent="0.25">
      <c r="C141" t="s">
        <v>119</v>
      </c>
      <c r="D141">
        <v>1879412785</v>
      </c>
      <c r="G141">
        <v>24</v>
      </c>
      <c r="L141" t="str">
        <f t="shared" si="19"/>
        <v>[140]={[2]={["HARVESTMATH_FESTIVAL"]=24;};[1]=1879412785;}; -- Tunic of the Leaf-turner</v>
      </c>
      <c r="M141" t="str">
        <f t="shared" si="20"/>
        <v>[140]={[1]="DIVIDER1"; [2]={["ENGLISH"] = ""; }; };</v>
      </c>
      <c r="N141" t="str">
        <f t="shared" si="21"/>
        <v>[140]={[1]="DIVIDER2"; [2]={["ENGLISH"] = ""; }; };</v>
      </c>
      <c r="O141" t="str">
        <f t="shared" si="22"/>
        <v/>
      </c>
      <c r="P141" t="str">
        <f t="shared" si="23"/>
        <v>[1]=1879412785;</v>
      </c>
      <c r="Q141" t="str">
        <f t="shared" si="24"/>
        <v/>
      </c>
      <c r="R141" t="str">
        <f t="shared" si="25"/>
        <v>[2]={["HARVESTMATH_FESTIVAL"]=24;};</v>
      </c>
      <c r="S141" t="str">
        <f t="shared" si="26"/>
        <v>["HARVESTMATH_FESTIVAL"]=24;</v>
      </c>
      <c r="T141" t="str">
        <f t="shared" si="27"/>
        <v/>
      </c>
    </row>
    <row r="142" spans="2:20" x14ac:dyDescent="0.25">
      <c r="C142" t="s">
        <v>120</v>
      </c>
      <c r="D142">
        <v>1879394556</v>
      </c>
      <c r="G142">
        <v>24</v>
      </c>
      <c r="L142" t="str">
        <f t="shared" si="19"/>
        <v>[141]={[2]={["HARVESTMATH_FESTIVAL"]=24;};[1]=1879394556;}; -- Trousers of the Autumn Traveller</v>
      </c>
      <c r="M142" t="str">
        <f t="shared" si="20"/>
        <v>[141]={[1]="DIVIDER1"; [2]={["ENGLISH"] = ""; }; };</v>
      </c>
      <c r="N142" t="str">
        <f t="shared" si="21"/>
        <v>[141]={[1]="DIVIDER2"; [2]={["ENGLISH"] = ""; }; };</v>
      </c>
      <c r="O142" t="str">
        <f t="shared" si="22"/>
        <v/>
      </c>
      <c r="P142" t="str">
        <f t="shared" si="23"/>
        <v>[1]=1879394556;</v>
      </c>
      <c r="Q142" t="str">
        <f t="shared" si="24"/>
        <v/>
      </c>
      <c r="R142" t="str">
        <f t="shared" si="25"/>
        <v>[2]={["HARVESTMATH_FESTIVAL"]=24;};</v>
      </c>
      <c r="S142" t="str">
        <f t="shared" si="26"/>
        <v>["HARVESTMATH_FESTIVAL"]=24;</v>
      </c>
      <c r="T142" t="str">
        <f t="shared" si="27"/>
        <v/>
      </c>
    </row>
    <row r="143" spans="2:20" x14ac:dyDescent="0.25">
      <c r="C143" t="s">
        <v>121</v>
      </c>
      <c r="D143">
        <v>1879394559</v>
      </c>
      <c r="G143">
        <v>24</v>
      </c>
      <c r="L143" t="str">
        <f t="shared" si="19"/>
        <v>[142]={[2]={["HARVESTMATH_FESTIVAL"]=24;};[1]=1879394559;}; -- Tunic of the Autumn Traveller</v>
      </c>
      <c r="M143" t="str">
        <f t="shared" si="20"/>
        <v>[142]={[1]="DIVIDER1"; [2]={["ENGLISH"] = ""; }; };</v>
      </c>
      <c r="N143" t="str">
        <f t="shared" si="21"/>
        <v>[142]={[1]="DIVIDER2"; [2]={["ENGLISH"] = ""; }; };</v>
      </c>
      <c r="O143" t="str">
        <f t="shared" si="22"/>
        <v/>
      </c>
      <c r="P143" t="str">
        <f t="shared" si="23"/>
        <v>[1]=1879394559;</v>
      </c>
      <c r="Q143" t="str">
        <f t="shared" si="24"/>
        <v/>
      </c>
      <c r="R143" t="str">
        <f t="shared" si="25"/>
        <v>[2]={["HARVESTMATH_FESTIVAL"]=24;};</v>
      </c>
      <c r="S143" t="str">
        <f t="shared" si="26"/>
        <v>["HARVESTMATH_FESTIVAL"]=24;</v>
      </c>
      <c r="T143" t="str">
        <f t="shared" si="27"/>
        <v/>
      </c>
    </row>
    <row r="144" spans="2:20" x14ac:dyDescent="0.25">
      <c r="C144" t="s">
        <v>122</v>
      </c>
      <c r="D144">
        <v>1879381542</v>
      </c>
      <c r="G144">
        <v>18</v>
      </c>
      <c r="L144" t="str">
        <f t="shared" si="19"/>
        <v>[143]={[2]={["HARVESTMATH_FESTIVAL"]=18;};[1]=1879381542;}; -- Travelling Robes of the Autumn Wanderer</v>
      </c>
      <c r="M144" t="str">
        <f t="shared" si="20"/>
        <v>[143]={[1]="DIVIDER1"; [2]={["ENGLISH"] = ""; }; };</v>
      </c>
      <c r="N144" t="str">
        <f t="shared" si="21"/>
        <v>[143]={[1]="DIVIDER2"; [2]={["ENGLISH"] = ""; }; };</v>
      </c>
      <c r="O144" t="str">
        <f t="shared" si="22"/>
        <v/>
      </c>
      <c r="P144" t="str">
        <f t="shared" si="23"/>
        <v>[1]=1879381542;</v>
      </c>
      <c r="Q144" t="str">
        <f t="shared" si="24"/>
        <v/>
      </c>
      <c r="R144" t="str">
        <f t="shared" si="25"/>
        <v>[2]={["HARVESTMATH_FESTIVAL"]=18;};</v>
      </c>
      <c r="S144" t="str">
        <f t="shared" si="26"/>
        <v>["HARVESTMATH_FESTIVAL"]=18;</v>
      </c>
      <c r="T144" t="str">
        <f t="shared" si="27"/>
        <v/>
      </c>
    </row>
    <row r="145" spans="2:20" x14ac:dyDescent="0.25">
      <c r="C145" t="s">
        <v>123</v>
      </c>
      <c r="D145">
        <v>1879361266</v>
      </c>
      <c r="G145">
        <v>18</v>
      </c>
      <c r="L145" t="str">
        <f t="shared" si="19"/>
        <v>[144]={[2]={["HARVESTMATH_FESTIVAL"]=18;};[1]=1879361266;}; -- Autumn Leafmail Hauberk</v>
      </c>
      <c r="M145" t="str">
        <f t="shared" si="20"/>
        <v>[144]={[1]="DIVIDER1"; [2]={["ENGLISH"] = ""; }; };</v>
      </c>
      <c r="N145" t="str">
        <f t="shared" si="21"/>
        <v>[144]={[1]="DIVIDER2"; [2]={["ENGLISH"] = ""; }; };</v>
      </c>
      <c r="O145" t="str">
        <f t="shared" si="22"/>
        <v/>
      </c>
      <c r="P145" t="str">
        <f t="shared" si="23"/>
        <v>[1]=1879361266;</v>
      </c>
      <c r="Q145" t="str">
        <f t="shared" si="24"/>
        <v/>
      </c>
      <c r="R145" t="str">
        <f t="shared" si="25"/>
        <v>[2]={["HARVESTMATH_FESTIVAL"]=18;};</v>
      </c>
      <c r="S145" t="str">
        <f t="shared" si="26"/>
        <v>["HARVESTMATH_FESTIVAL"]=18;</v>
      </c>
      <c r="T145" t="str">
        <f t="shared" si="27"/>
        <v/>
      </c>
    </row>
    <row r="146" spans="2:20" x14ac:dyDescent="0.25">
      <c r="C146" t="s">
        <v>124</v>
      </c>
      <c r="D146">
        <v>1879361262</v>
      </c>
      <c r="G146">
        <v>18</v>
      </c>
      <c r="L146" t="str">
        <f t="shared" si="19"/>
        <v>[145]={[2]={["HARVESTMATH_FESTIVAL"]=18;};[1]=1879361262;}; -- Autumn Leafmail Dress</v>
      </c>
      <c r="M146" t="str">
        <f t="shared" si="20"/>
        <v>[145]={[1]="DIVIDER1"; [2]={["ENGLISH"] = ""; }; };</v>
      </c>
      <c r="N146" t="str">
        <f t="shared" si="21"/>
        <v>[145]={[1]="DIVIDER2"; [2]={["ENGLISH"] = ""; }; };</v>
      </c>
      <c r="O146" t="str">
        <f t="shared" si="22"/>
        <v/>
      </c>
      <c r="P146" t="str">
        <f t="shared" si="23"/>
        <v>[1]=1879361262;</v>
      </c>
      <c r="Q146" t="str">
        <f t="shared" si="24"/>
        <v/>
      </c>
      <c r="R146" t="str">
        <f t="shared" si="25"/>
        <v>[2]={["HARVESTMATH_FESTIVAL"]=18;};</v>
      </c>
      <c r="S146" t="str">
        <f t="shared" si="26"/>
        <v>["HARVESTMATH_FESTIVAL"]=18;</v>
      </c>
      <c r="T146" t="str">
        <f t="shared" si="27"/>
        <v/>
      </c>
    </row>
    <row r="147" spans="2:20" x14ac:dyDescent="0.25">
      <c r="C147" t="s">
        <v>125</v>
      </c>
      <c r="D147">
        <v>1879328784</v>
      </c>
      <c r="G147">
        <v>18</v>
      </c>
      <c r="L147" t="str">
        <f t="shared" si="19"/>
        <v>[146]={[2]={["HARVESTMATH_FESTIVAL"]=18;};[1]=1879328784;}; -- Dress of the Anórien Autumn</v>
      </c>
      <c r="M147" t="str">
        <f t="shared" si="20"/>
        <v>[146]={[1]="DIVIDER1"; [2]={["ENGLISH"] = ""; }; };</v>
      </c>
      <c r="N147" t="str">
        <f t="shared" si="21"/>
        <v>[146]={[1]="DIVIDER2"; [2]={["ENGLISH"] = ""; }; };</v>
      </c>
      <c r="O147" t="str">
        <f t="shared" si="22"/>
        <v/>
      </c>
      <c r="P147" t="str">
        <f t="shared" si="23"/>
        <v>[1]=1879328784;</v>
      </c>
      <c r="Q147" t="str">
        <f t="shared" si="24"/>
        <v/>
      </c>
      <c r="R147" t="str">
        <f t="shared" si="25"/>
        <v>[2]={["HARVESTMATH_FESTIVAL"]=18;};</v>
      </c>
      <c r="S147" t="str">
        <f t="shared" si="26"/>
        <v>["HARVESTMATH_FESTIVAL"]=18;</v>
      </c>
      <c r="T147" t="str">
        <f t="shared" si="27"/>
        <v/>
      </c>
    </row>
    <row r="148" spans="2:20" x14ac:dyDescent="0.25">
      <c r="C148" t="s">
        <v>126</v>
      </c>
      <c r="D148">
        <v>1879315549</v>
      </c>
      <c r="G148">
        <v>18</v>
      </c>
      <c r="L148" t="str">
        <f t="shared" si="19"/>
        <v>[147]={[2]={["HARVESTMATH_FESTIVAL"]=18;};[1]=1879315549;}; -- Robe of the Autumn Sun</v>
      </c>
      <c r="M148" t="str">
        <f t="shared" si="20"/>
        <v>[147]={[1]="DIVIDER1"; [2]={["ENGLISH"] = ""; }; };</v>
      </c>
      <c r="N148" t="str">
        <f t="shared" si="21"/>
        <v>[147]={[1]="DIVIDER2"; [2]={["ENGLISH"] = ""; }; };</v>
      </c>
      <c r="O148" t="str">
        <f t="shared" si="22"/>
        <v/>
      </c>
      <c r="P148" t="str">
        <f t="shared" si="23"/>
        <v>[1]=1879315549;</v>
      </c>
      <c r="Q148" t="str">
        <f t="shared" si="24"/>
        <v/>
      </c>
      <c r="R148" t="str">
        <f t="shared" si="25"/>
        <v>[2]={["HARVESTMATH_FESTIVAL"]=18;};</v>
      </c>
      <c r="S148" t="str">
        <f t="shared" si="26"/>
        <v>["HARVESTMATH_FESTIVAL"]=18;</v>
      </c>
      <c r="T148" t="str">
        <f t="shared" si="27"/>
        <v/>
      </c>
    </row>
    <row r="149" spans="2:20" x14ac:dyDescent="0.25">
      <c r="C149" t="s">
        <v>127</v>
      </c>
      <c r="D149">
        <v>1879277177</v>
      </c>
      <c r="G149">
        <v>18</v>
      </c>
      <c r="L149" t="str">
        <f t="shared" si="19"/>
        <v>[148]={[2]={["HARVESTMATH_FESTIVAL"]=18;};[1]=1879277177;}; -- Spooky Robe of the Bat</v>
      </c>
      <c r="M149" t="str">
        <f t="shared" si="20"/>
        <v>[148]={[1]="DIVIDER1"; [2]={["ENGLISH"] = ""; }; };</v>
      </c>
      <c r="N149" t="str">
        <f t="shared" si="21"/>
        <v>[148]={[1]="DIVIDER2"; [2]={["ENGLISH"] = ""; }; };</v>
      </c>
      <c r="O149" t="str">
        <f t="shared" si="22"/>
        <v/>
      </c>
      <c r="P149" t="str">
        <f t="shared" si="23"/>
        <v>[1]=1879277177;</v>
      </c>
      <c r="Q149" t="str">
        <f t="shared" si="24"/>
        <v/>
      </c>
      <c r="R149" t="str">
        <f t="shared" si="25"/>
        <v>[2]={["HARVESTMATH_FESTIVAL"]=18;};</v>
      </c>
      <c r="S149" t="str">
        <f t="shared" si="26"/>
        <v>["HARVESTMATH_FESTIVAL"]=18;</v>
      </c>
      <c r="T149" t="str">
        <f t="shared" si="27"/>
        <v/>
      </c>
    </row>
    <row r="150" spans="2:20" x14ac:dyDescent="0.25">
      <c r="C150" t="s">
        <v>128</v>
      </c>
      <c r="D150">
        <v>1879255513</v>
      </c>
      <c r="G150">
        <v>18</v>
      </c>
      <c r="L150" t="str">
        <f t="shared" si="19"/>
        <v>[149]={[2]={["HARVESTMATH_FESTIVAL"]=18;};[1]=1879255513;}; -- Harvest-brew Long-sleeved Tunic &amp; Trousers</v>
      </c>
      <c r="M150" t="str">
        <f t="shared" si="20"/>
        <v>[149]={[1]="DIVIDER1"; [2]={["ENGLISH"] = ""; }; };</v>
      </c>
      <c r="N150" t="str">
        <f t="shared" si="21"/>
        <v>[149]={[1]="DIVIDER2"; [2]={["ENGLISH"] = ""; }; };</v>
      </c>
      <c r="O150" t="str">
        <f t="shared" si="22"/>
        <v/>
      </c>
      <c r="P150" t="str">
        <f t="shared" si="23"/>
        <v>[1]=1879255513;</v>
      </c>
      <c r="Q150" t="str">
        <f t="shared" si="24"/>
        <v/>
      </c>
      <c r="R150" t="str">
        <f t="shared" si="25"/>
        <v>[2]={["HARVESTMATH_FESTIVAL"]=18;};</v>
      </c>
      <c r="S150" t="str">
        <f t="shared" si="26"/>
        <v>["HARVESTMATH_FESTIVAL"]=18;</v>
      </c>
      <c r="T150" t="str">
        <f t="shared" si="27"/>
        <v/>
      </c>
    </row>
    <row r="151" spans="2:20" x14ac:dyDescent="0.25">
      <c r="C151" t="s">
        <v>129</v>
      </c>
      <c r="D151">
        <v>1879255515</v>
      </c>
      <c r="G151">
        <v>18</v>
      </c>
      <c r="L151" t="str">
        <f t="shared" si="19"/>
        <v>[150]={[2]={["HARVESTMATH_FESTIVAL"]=18;};[1]=1879255515;}; -- Harvest-brew Short-sleeved Tunic &amp; Trousers</v>
      </c>
      <c r="M151" t="str">
        <f t="shared" si="20"/>
        <v>[150]={[1]="DIVIDER1"; [2]={["ENGLISH"] = ""; }; };</v>
      </c>
      <c r="N151" t="str">
        <f t="shared" si="21"/>
        <v>[150]={[1]="DIVIDER2"; [2]={["ENGLISH"] = ""; }; };</v>
      </c>
      <c r="O151" t="str">
        <f t="shared" si="22"/>
        <v/>
      </c>
      <c r="P151" t="str">
        <f t="shared" si="23"/>
        <v>[1]=1879255515;</v>
      </c>
      <c r="Q151" t="str">
        <f t="shared" si="24"/>
        <v/>
      </c>
      <c r="R151" t="str">
        <f t="shared" si="25"/>
        <v>[2]={["HARVESTMATH_FESTIVAL"]=18;};</v>
      </c>
      <c r="S151" t="str">
        <f t="shared" si="26"/>
        <v>["HARVESTMATH_FESTIVAL"]=18;</v>
      </c>
      <c r="T151" t="str">
        <f t="shared" si="27"/>
        <v/>
      </c>
    </row>
    <row r="152" spans="2:20" x14ac:dyDescent="0.25">
      <c r="C152" t="s">
        <v>130</v>
      </c>
      <c r="D152">
        <v>1879255509</v>
      </c>
      <c r="G152">
        <v>18</v>
      </c>
      <c r="L152" t="str">
        <f t="shared" si="19"/>
        <v>[151]={[2]={["HARVESTMATH_FESTIVAL"]=18;};[1]=1879255509;}; -- Harvest-brew Dress</v>
      </c>
      <c r="M152" t="str">
        <f t="shared" si="20"/>
        <v>[151]={[1]="DIVIDER1"; [2]={["ENGLISH"] = ""; }; };</v>
      </c>
      <c r="N152" t="str">
        <f t="shared" si="21"/>
        <v>[151]={[1]="DIVIDER2"; [2]={["ENGLISH"] = ""; }; };</v>
      </c>
      <c r="O152" t="str">
        <f t="shared" si="22"/>
        <v/>
      </c>
      <c r="P152" t="str">
        <f t="shared" si="23"/>
        <v>[1]=1879255509;</v>
      </c>
      <c r="Q152" t="str">
        <f t="shared" si="24"/>
        <v/>
      </c>
      <c r="R152" t="str">
        <f t="shared" si="25"/>
        <v>[2]={["HARVESTMATH_FESTIVAL"]=18;};</v>
      </c>
      <c r="S152" t="str">
        <f t="shared" si="26"/>
        <v>["HARVESTMATH_FESTIVAL"]=18;</v>
      </c>
      <c r="T152" t="str">
        <f t="shared" si="27"/>
        <v/>
      </c>
    </row>
    <row r="153" spans="2:20" x14ac:dyDescent="0.25">
      <c r="C153" t="s">
        <v>131</v>
      </c>
      <c r="D153">
        <v>1879220548</v>
      </c>
      <c r="G153">
        <v>12</v>
      </c>
      <c r="L153" t="str">
        <f t="shared" si="19"/>
        <v>[152]={[2]={["HARVESTMATH_FESTIVAL"]=12;};[1]=1879220548;}; -- Tunic &amp; Trousers of Autumn Nights</v>
      </c>
      <c r="M153" t="str">
        <f t="shared" si="20"/>
        <v>[152]={[1]="DIVIDER1"; [2]={["ENGLISH"] = ""; }; };</v>
      </c>
      <c r="N153" t="str">
        <f t="shared" si="21"/>
        <v>[152]={[1]="DIVIDER2"; [2]={["ENGLISH"] = ""; }; };</v>
      </c>
      <c r="O153" t="str">
        <f t="shared" si="22"/>
        <v/>
      </c>
      <c r="P153" t="str">
        <f t="shared" si="23"/>
        <v>[1]=1879220548;</v>
      </c>
      <c r="Q153" t="str">
        <f t="shared" si="24"/>
        <v/>
      </c>
      <c r="R153" t="str">
        <f t="shared" si="25"/>
        <v>[2]={["HARVESTMATH_FESTIVAL"]=12;};</v>
      </c>
      <c r="S153" t="str">
        <f t="shared" si="26"/>
        <v>["HARVESTMATH_FESTIVAL"]=12;</v>
      </c>
      <c r="T153" t="str">
        <f t="shared" si="27"/>
        <v/>
      </c>
    </row>
    <row r="154" spans="2:20" x14ac:dyDescent="0.25">
      <c r="C154" t="s">
        <v>132</v>
      </c>
      <c r="D154">
        <v>1879220545</v>
      </c>
      <c r="G154">
        <v>12</v>
      </c>
      <c r="L154" t="str">
        <f t="shared" si="19"/>
        <v>[153]={[2]={["HARVESTMATH_FESTIVAL"]=12;};[1]=1879220545;}; -- Gown of Autumn Nights</v>
      </c>
      <c r="M154" t="str">
        <f t="shared" si="20"/>
        <v>[153]={[1]="DIVIDER1"; [2]={["ENGLISH"] = ""; }; };</v>
      </c>
      <c r="N154" t="str">
        <f t="shared" si="21"/>
        <v>[153]={[1]="DIVIDER2"; [2]={["ENGLISH"] = ""; }; };</v>
      </c>
      <c r="O154" t="str">
        <f t="shared" si="22"/>
        <v/>
      </c>
      <c r="P154" t="str">
        <f t="shared" si="23"/>
        <v>[1]=1879220545;</v>
      </c>
      <c r="Q154" t="str">
        <f t="shared" si="24"/>
        <v/>
      </c>
      <c r="R154" t="str">
        <f t="shared" si="25"/>
        <v>[2]={["HARVESTMATH_FESTIVAL"]=12;};</v>
      </c>
      <c r="S154" t="str">
        <f t="shared" si="26"/>
        <v>["HARVESTMATH_FESTIVAL"]=12;</v>
      </c>
      <c r="T154" t="str">
        <f t="shared" si="27"/>
        <v/>
      </c>
    </row>
    <row r="155" spans="2:20" x14ac:dyDescent="0.25">
      <c r="B155" t="s">
        <v>133</v>
      </c>
      <c r="L155" t="str">
        <f t="shared" si="19"/>
        <v>[154]={[1]="DIVIDER2"; [2]={["ENGLISH"] = "Cosmetic Weapons and Shields"; }; };</v>
      </c>
      <c r="M155" t="str">
        <f t="shared" si="20"/>
        <v>[154]={[1]="DIVIDER1"; [2]={["ENGLISH"] = ""; }; };</v>
      </c>
      <c r="N155" t="str">
        <f t="shared" si="21"/>
        <v>[154]={[1]="DIVIDER2"; [2]={["ENGLISH"] = "Cosmetic Weapons and Shields"; }; };</v>
      </c>
      <c r="O155" t="str">
        <f t="shared" si="22"/>
        <v/>
      </c>
      <c r="P155" t="str">
        <f t="shared" si="23"/>
        <v>[1]=;</v>
      </c>
      <c r="Q155" t="str">
        <f t="shared" si="24"/>
        <v/>
      </c>
      <c r="R155" t="str">
        <f t="shared" si="25"/>
        <v>[2]={};</v>
      </c>
      <c r="S155" t="str">
        <f t="shared" si="26"/>
        <v/>
      </c>
      <c r="T155" t="str">
        <f t="shared" si="27"/>
        <v/>
      </c>
    </row>
    <row r="156" spans="2:20" x14ac:dyDescent="0.25">
      <c r="C156" t="s">
        <v>134</v>
      </c>
      <c r="D156">
        <v>1879361367</v>
      </c>
      <c r="G156">
        <v>18</v>
      </c>
      <c r="L156" t="str">
        <f t="shared" si="19"/>
        <v>[155]={[2]={["HARVESTMATH_FESTIVAL"]=18;};[1]=1879361367;}; -- Shield of Eldar Autumn</v>
      </c>
      <c r="M156" t="str">
        <f t="shared" si="20"/>
        <v>[155]={[1]="DIVIDER1"; [2]={["ENGLISH"] = ""; }; };</v>
      </c>
      <c r="N156" t="str">
        <f t="shared" si="21"/>
        <v>[155]={[1]="DIVIDER2"; [2]={["ENGLISH"] = ""; }; };</v>
      </c>
      <c r="O156" t="str">
        <f t="shared" si="22"/>
        <v/>
      </c>
      <c r="P156" t="str">
        <f t="shared" si="23"/>
        <v>[1]=1879361367;</v>
      </c>
      <c r="Q156" t="str">
        <f t="shared" si="24"/>
        <v/>
      </c>
      <c r="R156" t="str">
        <f t="shared" si="25"/>
        <v>[2]={["HARVESTMATH_FESTIVAL"]=18;};</v>
      </c>
      <c r="S156" t="str">
        <f t="shared" si="26"/>
        <v>["HARVESTMATH_FESTIVAL"]=18;</v>
      </c>
      <c r="T156" t="str">
        <f t="shared" si="27"/>
        <v/>
      </c>
    </row>
    <row r="157" spans="2:20" x14ac:dyDescent="0.25">
      <c r="B157" t="s">
        <v>135</v>
      </c>
      <c r="L157" t="str">
        <f t="shared" si="19"/>
        <v>[156]={[1]="DIVIDER2"; [2]={["ENGLISH"] = "Shoulder-pieces and Footwear"; }; };</v>
      </c>
      <c r="M157" t="str">
        <f t="shared" si="20"/>
        <v>[156]={[1]="DIVIDER1"; [2]={["ENGLISH"] = ""; }; };</v>
      </c>
      <c r="N157" t="str">
        <f t="shared" si="21"/>
        <v>[156]={[1]="DIVIDER2"; [2]={["ENGLISH"] = "Shoulder-pieces and Footwear"; }; };</v>
      </c>
      <c r="O157" t="str">
        <f t="shared" si="22"/>
        <v/>
      </c>
      <c r="P157" t="str">
        <f t="shared" si="23"/>
        <v>[1]=;</v>
      </c>
      <c r="Q157" t="str">
        <f t="shared" si="24"/>
        <v/>
      </c>
      <c r="R157" t="str">
        <f t="shared" si="25"/>
        <v>[2]={};</v>
      </c>
      <c r="S157" t="str">
        <f t="shared" si="26"/>
        <v/>
      </c>
      <c r="T157" t="str">
        <f t="shared" si="27"/>
        <v/>
      </c>
    </row>
    <row r="158" spans="2:20" x14ac:dyDescent="0.25">
      <c r="C158" t="s">
        <v>246</v>
      </c>
      <c r="D158">
        <v>1879536597</v>
      </c>
      <c r="G158">
        <v>24</v>
      </c>
      <c r="L158" t="str">
        <f t="shared" si="19"/>
        <v>[157]={[2]={["HARVESTMATH_FESTIVAL"]=24;};[1]=1879536597;}; -- Boots of the Midnight Raven</v>
      </c>
      <c r="M158" t="str">
        <f t="shared" si="20"/>
        <v>[157]={[1]="DIVIDER1"; [2]={["ENGLISH"] = ""; }; };</v>
      </c>
      <c r="N158" t="str">
        <f t="shared" si="21"/>
        <v>[157]={[1]="DIVIDER2"; [2]={["ENGLISH"] = ""; }; };</v>
      </c>
      <c r="O158" t="str">
        <f t="shared" si="22"/>
        <v/>
      </c>
      <c r="P158" t="str">
        <f t="shared" si="23"/>
        <v>[1]=1879536597;</v>
      </c>
      <c r="Q158" t="str">
        <f t="shared" si="24"/>
        <v/>
      </c>
      <c r="R158" t="str">
        <f t="shared" si="25"/>
        <v>[2]={["HARVESTMATH_FESTIVAL"]=24;};</v>
      </c>
      <c r="S158" t="str">
        <f t="shared" si="26"/>
        <v>["HARVESTMATH_FESTIVAL"]=24;</v>
      </c>
      <c r="T158" t="str">
        <f t="shared" si="27"/>
        <v/>
      </c>
    </row>
    <row r="159" spans="2:20" x14ac:dyDescent="0.25">
      <c r="C159" t="s">
        <v>247</v>
      </c>
      <c r="D159">
        <v>1879536596</v>
      </c>
      <c r="G159">
        <v>24</v>
      </c>
      <c r="L159" t="str">
        <f t="shared" si="19"/>
        <v>[158]={[2]={["HARVESTMATH_FESTIVAL"]=24;};[1]=1879536596;}; -- Scarf of the Midnight Raven</v>
      </c>
      <c r="M159" t="str">
        <f t="shared" si="20"/>
        <v>[158]={[1]="DIVIDER1"; [2]={["ENGLISH"] = ""; }; };</v>
      </c>
      <c r="N159" t="str">
        <f t="shared" si="21"/>
        <v>[158]={[1]="DIVIDER2"; [2]={["ENGLISH"] = ""; }; };</v>
      </c>
      <c r="O159" t="str">
        <f t="shared" si="22"/>
        <v/>
      </c>
      <c r="P159" t="str">
        <f t="shared" si="23"/>
        <v>[1]=1879536596;</v>
      </c>
      <c r="Q159" t="str">
        <f t="shared" si="24"/>
        <v/>
      </c>
      <c r="R159" t="str">
        <f t="shared" si="25"/>
        <v>[2]={["HARVESTMATH_FESTIVAL"]=24;};</v>
      </c>
      <c r="S159" t="str">
        <f t="shared" si="26"/>
        <v>["HARVESTMATH_FESTIVAL"]=24;</v>
      </c>
      <c r="T159" t="str">
        <f t="shared" si="27"/>
        <v/>
      </c>
    </row>
    <row r="160" spans="2:20" x14ac:dyDescent="0.25">
      <c r="C160" t="s">
        <v>136</v>
      </c>
      <c r="D160">
        <v>1879493389</v>
      </c>
      <c r="G160">
        <v>24</v>
      </c>
      <c r="L160" t="str">
        <f t="shared" si="19"/>
        <v>[159]={[2]={["HARVESTMATH_FESTIVAL"]=24;};[1]=1879493389;}; -- Boots of Masked Wisdom</v>
      </c>
      <c r="M160" t="str">
        <f t="shared" si="20"/>
        <v>[159]={[1]="DIVIDER1"; [2]={["ENGLISH"] = ""; }; };</v>
      </c>
      <c r="N160" t="str">
        <f t="shared" si="21"/>
        <v>[159]={[1]="DIVIDER2"; [2]={["ENGLISH"] = ""; }; };</v>
      </c>
      <c r="O160" t="str">
        <f t="shared" si="22"/>
        <v/>
      </c>
      <c r="P160" t="str">
        <f t="shared" si="23"/>
        <v>[1]=1879493389;</v>
      </c>
      <c r="Q160" t="str">
        <f t="shared" si="24"/>
        <v/>
      </c>
      <c r="R160" t="str">
        <f t="shared" si="25"/>
        <v>[2]={["HARVESTMATH_FESTIVAL"]=24;};</v>
      </c>
      <c r="S160" t="str">
        <f t="shared" si="26"/>
        <v>["HARVESTMATH_FESTIVAL"]=24;</v>
      </c>
      <c r="T160" t="str">
        <f t="shared" si="27"/>
        <v/>
      </c>
    </row>
    <row r="161" spans="2:20" x14ac:dyDescent="0.25">
      <c r="C161" t="s">
        <v>137</v>
      </c>
      <c r="D161">
        <v>1879470525</v>
      </c>
      <c r="G161">
        <v>24</v>
      </c>
      <c r="L161" t="str">
        <f t="shared" si="19"/>
        <v>[160]={[2]={["HARVESTMATH_FESTIVAL"]=24;};[1]=1879470525;}; -- Mantle of the Forest-spirit</v>
      </c>
      <c r="M161" t="str">
        <f t="shared" si="20"/>
        <v>[160]={[1]="DIVIDER1"; [2]={["ENGLISH"] = ""; }; };</v>
      </c>
      <c r="N161" t="str">
        <f t="shared" si="21"/>
        <v>[160]={[1]="DIVIDER2"; [2]={["ENGLISH"] = ""; }; };</v>
      </c>
      <c r="O161" t="str">
        <f t="shared" si="22"/>
        <v/>
      </c>
      <c r="P161" t="str">
        <f t="shared" si="23"/>
        <v>[1]=1879470525;</v>
      </c>
      <c r="Q161" t="str">
        <f t="shared" si="24"/>
        <v/>
      </c>
      <c r="R161" t="str">
        <f t="shared" si="25"/>
        <v>[2]={["HARVESTMATH_FESTIVAL"]=24;};</v>
      </c>
      <c r="S161" t="str">
        <f t="shared" si="26"/>
        <v>["HARVESTMATH_FESTIVAL"]=24;</v>
      </c>
      <c r="T161" t="str">
        <f t="shared" si="27"/>
        <v/>
      </c>
    </row>
    <row r="162" spans="2:20" x14ac:dyDescent="0.25">
      <c r="C162" t="s">
        <v>138</v>
      </c>
      <c r="D162">
        <v>1879470523</v>
      </c>
      <c r="G162">
        <v>24</v>
      </c>
      <c r="L162" t="str">
        <f t="shared" si="19"/>
        <v>[161]={[2]={["HARVESTMATH_FESTIVAL"]=24;};[1]=1879470523;}; -- Boots of the Forest-spirit</v>
      </c>
      <c r="M162" t="str">
        <f t="shared" si="20"/>
        <v>[161]={[1]="DIVIDER1"; [2]={["ENGLISH"] = ""; }; };</v>
      </c>
      <c r="N162" t="str">
        <f t="shared" si="21"/>
        <v>[161]={[1]="DIVIDER2"; [2]={["ENGLISH"] = ""; }; };</v>
      </c>
      <c r="O162" t="str">
        <f t="shared" si="22"/>
        <v/>
      </c>
      <c r="P162" t="str">
        <f t="shared" si="23"/>
        <v>[1]=1879470523;</v>
      </c>
      <c r="Q162" t="str">
        <f t="shared" si="24"/>
        <v/>
      </c>
      <c r="R162" t="str">
        <f t="shared" si="25"/>
        <v>[2]={["HARVESTMATH_FESTIVAL"]=24;};</v>
      </c>
      <c r="S162" t="str">
        <f t="shared" si="26"/>
        <v>["HARVESTMATH_FESTIVAL"]=24;</v>
      </c>
      <c r="T162" t="str">
        <f t="shared" si="27"/>
        <v/>
      </c>
    </row>
    <row r="163" spans="2:20" x14ac:dyDescent="0.25">
      <c r="C163" t="s">
        <v>139</v>
      </c>
      <c r="D163">
        <v>1879412782</v>
      </c>
      <c r="G163">
        <v>24</v>
      </c>
      <c r="L163" t="str">
        <f t="shared" si="19"/>
        <v>[162]={[2]={["HARVESTMATH_FESTIVAL"]=24;};[1]=1879412782;}; -- Cowl and Hat of the Autumn Sage</v>
      </c>
      <c r="M163" t="str">
        <f t="shared" si="20"/>
        <v>[162]={[1]="DIVIDER1"; [2]={["ENGLISH"] = ""; }; };</v>
      </c>
      <c r="N163" t="str">
        <f t="shared" si="21"/>
        <v>[162]={[1]="DIVIDER2"; [2]={["ENGLISH"] = ""; }; };</v>
      </c>
      <c r="O163" t="str">
        <f t="shared" si="22"/>
        <v/>
      </c>
      <c r="P163" t="str">
        <f t="shared" si="23"/>
        <v>[1]=1879412782;</v>
      </c>
      <c r="Q163" t="str">
        <f t="shared" si="24"/>
        <v/>
      </c>
      <c r="R163" t="str">
        <f t="shared" si="25"/>
        <v>[2]={["HARVESTMATH_FESTIVAL"]=24;};</v>
      </c>
      <c r="S163" t="str">
        <f t="shared" si="26"/>
        <v>["HARVESTMATH_FESTIVAL"]=24;</v>
      </c>
      <c r="T163" t="str">
        <f t="shared" si="27"/>
        <v/>
      </c>
    </row>
    <row r="164" spans="2:20" x14ac:dyDescent="0.25">
      <c r="C164" t="s">
        <v>140</v>
      </c>
      <c r="D164">
        <v>1879361263</v>
      </c>
      <c r="G164">
        <v>18</v>
      </c>
      <c r="L164" t="str">
        <f t="shared" si="19"/>
        <v>[163]={[2]={["HARVESTMATH_FESTIVAL"]=18;};[1]=1879361263;}; -- Autumn Leafmail Shoulder-guards</v>
      </c>
      <c r="M164" t="str">
        <f t="shared" si="20"/>
        <v>[163]={[1]="DIVIDER1"; [2]={["ENGLISH"] = ""; }; };</v>
      </c>
      <c r="N164" t="str">
        <f t="shared" si="21"/>
        <v>[163]={[1]="DIVIDER2"; [2]={["ENGLISH"] = ""; }; };</v>
      </c>
      <c r="O164" t="str">
        <f t="shared" si="22"/>
        <v/>
      </c>
      <c r="P164" t="str">
        <f t="shared" si="23"/>
        <v>[1]=1879361263;</v>
      </c>
      <c r="Q164" t="str">
        <f t="shared" si="24"/>
        <v/>
      </c>
      <c r="R164" t="str">
        <f t="shared" si="25"/>
        <v>[2]={["HARVESTMATH_FESTIVAL"]=18;};</v>
      </c>
      <c r="S164" t="str">
        <f t="shared" si="26"/>
        <v>["HARVESTMATH_FESTIVAL"]=18;</v>
      </c>
      <c r="T164" t="str">
        <f t="shared" si="27"/>
        <v/>
      </c>
    </row>
    <row r="165" spans="2:20" x14ac:dyDescent="0.25">
      <c r="C165" t="s">
        <v>141</v>
      </c>
      <c r="D165">
        <v>1879338598</v>
      </c>
      <c r="G165">
        <v>18</v>
      </c>
      <c r="L165" t="str">
        <f t="shared" si="19"/>
        <v>[164]={[2]={["HARVESTMATH_FESTIVAL"]=18;};[1]=1879338598;}; -- Mantle of the Gloaming Autumn</v>
      </c>
      <c r="M165" t="str">
        <f t="shared" si="20"/>
        <v>[164]={[1]="DIVIDER1"; [2]={["ENGLISH"] = ""; }; };</v>
      </c>
      <c r="N165" t="str">
        <f t="shared" si="21"/>
        <v>[164]={[1]="DIVIDER2"; [2]={["ENGLISH"] = ""; }; };</v>
      </c>
      <c r="O165" t="str">
        <f t="shared" si="22"/>
        <v/>
      </c>
      <c r="P165" t="str">
        <f t="shared" si="23"/>
        <v>[1]=1879338598;</v>
      </c>
      <c r="Q165" t="str">
        <f t="shared" si="24"/>
        <v/>
      </c>
      <c r="R165" t="str">
        <f t="shared" si="25"/>
        <v>[2]={["HARVESTMATH_FESTIVAL"]=18;};</v>
      </c>
      <c r="S165" t="str">
        <f t="shared" si="26"/>
        <v>["HARVESTMATH_FESTIVAL"]=18;</v>
      </c>
      <c r="T165" t="str">
        <f t="shared" si="27"/>
        <v/>
      </c>
    </row>
    <row r="166" spans="2:20" x14ac:dyDescent="0.25">
      <c r="B166" t="s">
        <v>142</v>
      </c>
      <c r="L166" t="str">
        <f t="shared" si="19"/>
        <v>[165]={[1]="DIVIDER2"; [2]={["ENGLISH"] = "Cloaks and Back Items"; }; };</v>
      </c>
      <c r="M166" t="str">
        <f t="shared" si="20"/>
        <v>[165]={[1]="DIVIDER1"; [2]={["ENGLISH"] = ""; }; };</v>
      </c>
      <c r="N166" t="str">
        <f t="shared" si="21"/>
        <v>[165]={[1]="DIVIDER2"; [2]={["ENGLISH"] = "Cloaks and Back Items"; }; };</v>
      </c>
      <c r="O166" t="str">
        <f t="shared" si="22"/>
        <v/>
      </c>
      <c r="P166" t="str">
        <f t="shared" si="23"/>
        <v>[1]=;</v>
      </c>
      <c r="Q166" t="str">
        <f t="shared" si="24"/>
        <v/>
      </c>
      <c r="R166" t="str">
        <f t="shared" si="25"/>
        <v>[2]={};</v>
      </c>
      <c r="S166" t="str">
        <f t="shared" si="26"/>
        <v/>
      </c>
      <c r="T166" t="str">
        <f t="shared" si="27"/>
        <v/>
      </c>
    </row>
    <row r="167" spans="2:20" x14ac:dyDescent="0.25">
      <c r="C167" t="s">
        <v>248</v>
      </c>
      <c r="D167">
        <v>1879536594</v>
      </c>
      <c r="G167">
        <v>24</v>
      </c>
      <c r="L167" t="str">
        <f t="shared" si="19"/>
        <v>[166]={[2]={["HARVESTMATH_FESTIVAL"]=24;};[1]=1879536594;}; -- Cloak of the Midnight Raven</v>
      </c>
      <c r="M167" t="str">
        <f t="shared" si="20"/>
        <v>[166]={[1]="DIVIDER1"; [2]={["ENGLISH"] = ""; }; };</v>
      </c>
      <c r="N167" t="str">
        <f t="shared" si="21"/>
        <v>[166]={[1]="DIVIDER2"; [2]={["ENGLISH"] = ""; }; };</v>
      </c>
      <c r="O167" t="str">
        <f t="shared" si="22"/>
        <v/>
      </c>
      <c r="P167" t="str">
        <f t="shared" si="23"/>
        <v>[1]=1879536594;</v>
      </c>
      <c r="Q167" t="str">
        <f t="shared" si="24"/>
        <v/>
      </c>
      <c r="R167" t="str">
        <f t="shared" si="25"/>
        <v>[2]={["HARVESTMATH_FESTIVAL"]=24;};</v>
      </c>
      <c r="S167" t="str">
        <f t="shared" si="26"/>
        <v>["HARVESTMATH_FESTIVAL"]=24;</v>
      </c>
      <c r="T167" t="str">
        <f t="shared" si="27"/>
        <v/>
      </c>
    </row>
    <row r="168" spans="2:20" x14ac:dyDescent="0.25">
      <c r="C168" t="s">
        <v>22</v>
      </c>
      <c r="D168">
        <v>1879516604</v>
      </c>
      <c r="G168">
        <v>24</v>
      </c>
      <c r="L168" t="str">
        <f t="shared" si="19"/>
        <v>[167]={[2]={["HARVESTMATH_FESTIVAL"]=24;};[1]=1879516604;}; -- Cobweb Cloak</v>
      </c>
      <c r="M168" t="str">
        <f t="shared" si="20"/>
        <v>[167]={[1]="DIVIDER1"; [2]={["ENGLISH"] = ""; }; };</v>
      </c>
      <c r="N168" t="str">
        <f t="shared" si="21"/>
        <v>[167]={[1]="DIVIDER2"; [2]={["ENGLISH"] = ""; }; };</v>
      </c>
      <c r="O168" t="str">
        <f t="shared" si="22"/>
        <v/>
      </c>
      <c r="P168" t="str">
        <f t="shared" si="23"/>
        <v>[1]=1879516604;</v>
      </c>
      <c r="Q168" t="str">
        <f t="shared" si="24"/>
        <v/>
      </c>
      <c r="R168" t="str">
        <f t="shared" si="25"/>
        <v>[2]={["HARVESTMATH_FESTIVAL"]=24;};</v>
      </c>
      <c r="S168" t="str">
        <f t="shared" si="26"/>
        <v>["HARVESTMATH_FESTIVAL"]=24;</v>
      </c>
      <c r="T168" t="str">
        <f t="shared" si="27"/>
        <v/>
      </c>
    </row>
    <row r="169" spans="2:20" x14ac:dyDescent="0.25">
      <c r="C169" t="s">
        <v>23</v>
      </c>
      <c r="D169">
        <v>1879516602</v>
      </c>
      <c r="G169">
        <v>24</v>
      </c>
      <c r="L169" t="str">
        <f t="shared" si="19"/>
        <v>[168]={[2]={["HARVESTMATH_FESTIVAL"]=24;};[1]=1879516602;}; -- Hooded Cobweb Cloak</v>
      </c>
      <c r="M169" t="str">
        <f t="shared" si="20"/>
        <v>[168]={[1]="DIVIDER1"; [2]={["ENGLISH"] = ""; }; };</v>
      </c>
      <c r="N169" t="str">
        <f t="shared" si="21"/>
        <v>[168]={[1]="DIVIDER2"; [2]={["ENGLISH"] = ""; }; };</v>
      </c>
      <c r="O169" t="str">
        <f t="shared" si="22"/>
        <v/>
      </c>
      <c r="P169" t="str">
        <f t="shared" si="23"/>
        <v>[1]=1879516602;</v>
      </c>
      <c r="Q169" t="str">
        <f t="shared" si="24"/>
        <v/>
      </c>
      <c r="R169" t="str">
        <f t="shared" si="25"/>
        <v>[2]={["HARVESTMATH_FESTIVAL"]=24;};</v>
      </c>
      <c r="S169" t="str">
        <f t="shared" si="26"/>
        <v>["HARVESTMATH_FESTIVAL"]=24;</v>
      </c>
      <c r="T169" t="str">
        <f t="shared" si="27"/>
        <v/>
      </c>
    </row>
    <row r="170" spans="2:20" x14ac:dyDescent="0.25">
      <c r="C170" t="s">
        <v>143</v>
      </c>
      <c r="D170">
        <v>1879470527</v>
      </c>
      <c r="G170">
        <v>24</v>
      </c>
      <c r="L170" t="str">
        <f t="shared" si="19"/>
        <v>[169]={[2]={["HARVESTMATH_FESTIVAL"]=24;};[1]=1879470527;}; -- Cloak of the Forest-spirit</v>
      </c>
      <c r="M170" t="str">
        <f t="shared" si="20"/>
        <v>[169]={[1]="DIVIDER1"; [2]={["ENGLISH"] = ""; }; };</v>
      </c>
      <c r="N170" t="str">
        <f t="shared" si="21"/>
        <v>[169]={[1]="DIVIDER2"; [2]={["ENGLISH"] = ""; }; };</v>
      </c>
      <c r="O170" t="str">
        <f t="shared" si="22"/>
        <v/>
      </c>
      <c r="P170" t="str">
        <f t="shared" si="23"/>
        <v>[1]=1879470527;</v>
      </c>
      <c r="Q170" t="str">
        <f t="shared" si="24"/>
        <v/>
      </c>
      <c r="R170" t="str">
        <f t="shared" si="25"/>
        <v>[2]={["HARVESTMATH_FESTIVAL"]=24;};</v>
      </c>
      <c r="S170" t="str">
        <f t="shared" si="26"/>
        <v>["HARVESTMATH_FESTIVAL"]=24;</v>
      </c>
      <c r="T170" t="str">
        <f t="shared" si="27"/>
        <v/>
      </c>
    </row>
    <row r="171" spans="2:20" x14ac:dyDescent="0.25">
      <c r="C171" t="s">
        <v>144</v>
      </c>
      <c r="D171">
        <v>1879470528</v>
      </c>
      <c r="G171">
        <v>24</v>
      </c>
      <c r="L171" t="str">
        <f t="shared" si="19"/>
        <v>[170]={[2]={["HARVESTMATH_FESTIVAL"]=24;};[1]=1879470528;}; -- Hooded Cloak of the Forest-spirit</v>
      </c>
      <c r="M171" t="str">
        <f t="shared" si="20"/>
        <v>[170]={[1]="DIVIDER1"; [2]={["ENGLISH"] = ""; }; };</v>
      </c>
      <c r="N171" t="str">
        <f t="shared" si="21"/>
        <v>[170]={[1]="DIVIDER2"; [2]={["ENGLISH"] = ""; }; };</v>
      </c>
      <c r="O171" t="str">
        <f t="shared" si="22"/>
        <v/>
      </c>
      <c r="P171" t="str">
        <f t="shared" si="23"/>
        <v>[1]=1879470528;</v>
      </c>
      <c r="Q171" t="str">
        <f t="shared" si="24"/>
        <v/>
      </c>
      <c r="R171" t="str">
        <f t="shared" si="25"/>
        <v>[2]={["HARVESTMATH_FESTIVAL"]=24;};</v>
      </c>
      <c r="S171" t="str">
        <f t="shared" si="26"/>
        <v>["HARVESTMATH_FESTIVAL"]=24;</v>
      </c>
      <c r="T171" t="str">
        <f t="shared" si="27"/>
        <v/>
      </c>
    </row>
    <row r="172" spans="2:20" x14ac:dyDescent="0.25">
      <c r="C172" t="s">
        <v>145</v>
      </c>
      <c r="D172">
        <v>1879412786</v>
      </c>
      <c r="G172">
        <v>24</v>
      </c>
      <c r="L172" t="str">
        <f t="shared" si="19"/>
        <v>[171]={[2]={["HARVESTMATH_FESTIVAL"]=24;};[1]=1879412786;}; -- Cosmetic Bee Wings</v>
      </c>
      <c r="M172" t="str">
        <f t="shared" si="20"/>
        <v>[171]={[1]="DIVIDER1"; [2]={["ENGLISH"] = ""; }; };</v>
      </c>
      <c r="N172" t="str">
        <f t="shared" si="21"/>
        <v>[171]={[1]="DIVIDER2"; [2]={["ENGLISH"] = ""; }; };</v>
      </c>
      <c r="O172" t="str">
        <f t="shared" si="22"/>
        <v/>
      </c>
      <c r="P172" t="str">
        <f t="shared" si="23"/>
        <v>[1]=1879412786;</v>
      </c>
      <c r="Q172" t="str">
        <f t="shared" si="24"/>
        <v/>
      </c>
      <c r="R172" t="str">
        <f t="shared" si="25"/>
        <v>[2]={["HARVESTMATH_FESTIVAL"]=24;};</v>
      </c>
      <c r="S172" t="str">
        <f t="shared" si="26"/>
        <v>["HARVESTMATH_FESTIVAL"]=24;</v>
      </c>
      <c r="T172" t="str">
        <f t="shared" si="27"/>
        <v/>
      </c>
    </row>
    <row r="173" spans="2:20" x14ac:dyDescent="0.25">
      <c r="C173" t="s">
        <v>146</v>
      </c>
      <c r="D173">
        <v>1879412780</v>
      </c>
      <c r="G173">
        <v>24</v>
      </c>
      <c r="L173" t="str">
        <f t="shared" si="19"/>
        <v>[172]={[2]={["HARVESTMATH_FESTIVAL"]=24;};[1]=1879412780;}; -- Cosmetic Raven Wings</v>
      </c>
      <c r="M173" t="str">
        <f t="shared" si="20"/>
        <v>[172]={[1]="DIVIDER1"; [2]={["ENGLISH"] = ""; }; };</v>
      </c>
      <c r="N173" t="str">
        <f t="shared" si="21"/>
        <v>[172]={[1]="DIVIDER2"; [2]={["ENGLISH"] = ""; }; };</v>
      </c>
      <c r="O173" t="str">
        <f t="shared" si="22"/>
        <v/>
      </c>
      <c r="P173" t="str">
        <f t="shared" si="23"/>
        <v>[1]=1879412780;</v>
      </c>
      <c r="Q173" t="str">
        <f t="shared" si="24"/>
        <v/>
      </c>
      <c r="R173" t="str">
        <f t="shared" si="25"/>
        <v>[2]={["HARVESTMATH_FESTIVAL"]=24;};</v>
      </c>
      <c r="S173" t="str">
        <f t="shared" si="26"/>
        <v>["HARVESTMATH_FESTIVAL"]=24;</v>
      </c>
      <c r="T173" t="str">
        <f t="shared" si="27"/>
        <v/>
      </c>
    </row>
    <row r="174" spans="2:20" x14ac:dyDescent="0.25">
      <c r="C174" t="s">
        <v>147</v>
      </c>
      <c r="D174">
        <v>1879412783</v>
      </c>
      <c r="G174">
        <v>24</v>
      </c>
      <c r="L174" t="str">
        <f t="shared" si="19"/>
        <v>[173]={[2]={["HARVESTMATH_FESTIVAL"]=24;};[1]=1879412783;}; -- Cloak of the Autumn Sage</v>
      </c>
      <c r="M174" t="str">
        <f t="shared" si="20"/>
        <v>[173]={[1]="DIVIDER1"; [2]={["ENGLISH"] = ""; }; };</v>
      </c>
      <c r="N174" t="str">
        <f t="shared" si="21"/>
        <v>[173]={[1]="DIVIDER2"; [2]={["ENGLISH"] = ""; }; };</v>
      </c>
      <c r="O174" t="str">
        <f t="shared" si="22"/>
        <v/>
      </c>
      <c r="P174" t="str">
        <f t="shared" si="23"/>
        <v>[1]=1879412783;</v>
      </c>
      <c r="Q174" t="str">
        <f t="shared" si="24"/>
        <v/>
      </c>
      <c r="R174" t="str">
        <f t="shared" si="25"/>
        <v>[2]={["HARVESTMATH_FESTIVAL"]=24;};</v>
      </c>
      <c r="S174" t="str">
        <f t="shared" si="26"/>
        <v>["HARVESTMATH_FESTIVAL"]=24;</v>
      </c>
      <c r="T174" t="str">
        <f t="shared" si="27"/>
        <v/>
      </c>
    </row>
    <row r="175" spans="2:20" x14ac:dyDescent="0.25">
      <c r="C175" t="s">
        <v>148</v>
      </c>
      <c r="D175">
        <v>1879412784</v>
      </c>
      <c r="G175">
        <v>24</v>
      </c>
      <c r="L175" t="str">
        <f t="shared" si="19"/>
        <v>[174]={[2]={["HARVESTMATH_FESTIVAL"]=24;};[1]=1879412784;}; -- Hooded Cloak of the Autumn Sage</v>
      </c>
      <c r="M175" t="str">
        <f t="shared" si="20"/>
        <v>[174]={[1]="DIVIDER1"; [2]={["ENGLISH"] = ""; }; };</v>
      </c>
      <c r="N175" t="str">
        <f t="shared" si="21"/>
        <v>[174]={[1]="DIVIDER2"; [2]={["ENGLISH"] = ""; }; };</v>
      </c>
      <c r="O175" t="str">
        <f t="shared" si="22"/>
        <v/>
      </c>
      <c r="P175" t="str">
        <f t="shared" si="23"/>
        <v>[1]=1879412784;</v>
      </c>
      <c r="Q175" t="str">
        <f t="shared" si="24"/>
        <v/>
      </c>
      <c r="R175" t="str">
        <f t="shared" si="25"/>
        <v>[2]={["HARVESTMATH_FESTIVAL"]=24;};</v>
      </c>
      <c r="S175" t="str">
        <f t="shared" si="26"/>
        <v>["HARVESTMATH_FESTIVAL"]=24;</v>
      </c>
      <c r="T175" t="str">
        <f t="shared" si="27"/>
        <v/>
      </c>
    </row>
    <row r="176" spans="2:20" x14ac:dyDescent="0.25">
      <c r="C176" t="s">
        <v>149</v>
      </c>
      <c r="D176">
        <v>1879394558</v>
      </c>
      <c r="G176">
        <v>24</v>
      </c>
      <c r="L176" t="str">
        <f t="shared" si="19"/>
        <v>[175]={[2]={["HARVESTMATH_FESTIVAL"]=24;};[1]=1879394558;}; -- Cloak of the Autumn Traveller</v>
      </c>
      <c r="M176" t="str">
        <f t="shared" si="20"/>
        <v>[175]={[1]="DIVIDER1"; [2]={["ENGLISH"] = ""; }; };</v>
      </c>
      <c r="N176" t="str">
        <f t="shared" si="21"/>
        <v>[175]={[1]="DIVIDER2"; [2]={["ENGLISH"] = ""; }; };</v>
      </c>
      <c r="O176" t="str">
        <f t="shared" si="22"/>
        <v/>
      </c>
      <c r="P176" t="str">
        <f t="shared" si="23"/>
        <v>[1]=1879394558;</v>
      </c>
      <c r="Q176" t="str">
        <f t="shared" si="24"/>
        <v/>
      </c>
      <c r="R176" t="str">
        <f t="shared" si="25"/>
        <v>[2]={["HARVESTMATH_FESTIVAL"]=24;};</v>
      </c>
      <c r="S176" t="str">
        <f t="shared" si="26"/>
        <v>["HARVESTMATH_FESTIVAL"]=24;</v>
      </c>
      <c r="T176" t="str">
        <f t="shared" si="27"/>
        <v/>
      </c>
    </row>
    <row r="177" spans="3:20" x14ac:dyDescent="0.25">
      <c r="C177" t="s">
        <v>150</v>
      </c>
      <c r="D177">
        <v>1879381541</v>
      </c>
      <c r="G177">
        <v>18</v>
      </c>
      <c r="L177" t="str">
        <f t="shared" si="19"/>
        <v>[176]={[2]={["HARVESTMATH_FESTIVAL"]=18;};[1]=1879381541;}; -- Cloak of the Autumn Wanderer</v>
      </c>
      <c r="M177" t="str">
        <f t="shared" si="20"/>
        <v>[176]={[1]="DIVIDER1"; [2]={["ENGLISH"] = ""; }; };</v>
      </c>
      <c r="N177" t="str">
        <f t="shared" si="21"/>
        <v>[176]={[1]="DIVIDER2"; [2]={["ENGLISH"] = ""; }; };</v>
      </c>
      <c r="O177" t="str">
        <f t="shared" si="22"/>
        <v/>
      </c>
      <c r="P177" t="str">
        <f t="shared" si="23"/>
        <v>[1]=1879381541;</v>
      </c>
      <c r="Q177" t="str">
        <f t="shared" si="24"/>
        <v/>
      </c>
      <c r="R177" t="str">
        <f t="shared" si="25"/>
        <v>[2]={["HARVESTMATH_FESTIVAL"]=18;};</v>
      </c>
      <c r="S177" t="str">
        <f t="shared" si="26"/>
        <v>["HARVESTMATH_FESTIVAL"]=18;</v>
      </c>
      <c r="T177" t="str">
        <f t="shared" si="27"/>
        <v/>
      </c>
    </row>
    <row r="178" spans="3:20" x14ac:dyDescent="0.25">
      <c r="C178" t="s">
        <v>151</v>
      </c>
      <c r="D178">
        <v>1879381543</v>
      </c>
      <c r="G178">
        <v>18</v>
      </c>
      <c r="L178" t="str">
        <f t="shared" si="19"/>
        <v>[177]={[2]={["HARVESTMATH_FESTIVAL"]=18;};[1]=1879381543;}; -- Hooded Cloak of the Autumn Wanderer</v>
      </c>
      <c r="M178" t="str">
        <f t="shared" si="20"/>
        <v>[177]={[1]="DIVIDER1"; [2]={["ENGLISH"] = ""; }; };</v>
      </c>
      <c r="N178" t="str">
        <f t="shared" si="21"/>
        <v>[177]={[1]="DIVIDER2"; [2]={["ENGLISH"] = ""; }; };</v>
      </c>
      <c r="O178" t="str">
        <f t="shared" si="22"/>
        <v/>
      </c>
      <c r="P178" t="str">
        <f t="shared" si="23"/>
        <v>[1]=1879381543;</v>
      </c>
      <c r="Q178" t="str">
        <f t="shared" si="24"/>
        <v/>
      </c>
      <c r="R178" t="str">
        <f t="shared" si="25"/>
        <v>[2]={["HARVESTMATH_FESTIVAL"]=18;};</v>
      </c>
      <c r="S178" t="str">
        <f t="shared" si="26"/>
        <v>["HARVESTMATH_FESTIVAL"]=18;</v>
      </c>
      <c r="T178" t="str">
        <f t="shared" si="27"/>
        <v/>
      </c>
    </row>
    <row r="179" spans="3:20" x14ac:dyDescent="0.25">
      <c r="C179" t="s">
        <v>152</v>
      </c>
      <c r="D179">
        <v>1879361265</v>
      </c>
      <c r="G179">
        <v>18</v>
      </c>
      <c r="L179" t="str">
        <f t="shared" si="19"/>
        <v>[178]={[2]={["HARVESTMATH_FESTIVAL"]=18;};[1]=1879361265;}; -- Autumn Leafmail Cloak</v>
      </c>
      <c r="M179" t="str">
        <f t="shared" si="20"/>
        <v>[178]={[1]="DIVIDER1"; [2]={["ENGLISH"] = ""; }; };</v>
      </c>
      <c r="N179" t="str">
        <f t="shared" si="21"/>
        <v>[178]={[1]="DIVIDER2"; [2]={["ENGLISH"] = ""; }; };</v>
      </c>
      <c r="O179" t="str">
        <f t="shared" si="22"/>
        <v/>
      </c>
      <c r="P179" t="str">
        <f t="shared" si="23"/>
        <v>[1]=1879361265;</v>
      </c>
      <c r="Q179" t="str">
        <f t="shared" si="24"/>
        <v/>
      </c>
      <c r="R179" t="str">
        <f t="shared" si="25"/>
        <v>[2]={["HARVESTMATH_FESTIVAL"]=18;};</v>
      </c>
      <c r="S179" t="str">
        <f t="shared" si="26"/>
        <v>["HARVESTMATH_FESTIVAL"]=18;</v>
      </c>
      <c r="T179" t="str">
        <f t="shared" si="27"/>
        <v/>
      </c>
    </row>
    <row r="180" spans="3:20" x14ac:dyDescent="0.25">
      <c r="C180" t="s">
        <v>153</v>
      </c>
      <c r="D180">
        <v>1879361259</v>
      </c>
      <c r="G180">
        <v>18</v>
      </c>
      <c r="L180" t="str">
        <f t="shared" si="19"/>
        <v>[179]={[2]={["HARVESTMATH_FESTIVAL"]=18;};[1]=1879361259;}; -- Hooded Autumn Leafmail Cloak</v>
      </c>
      <c r="M180" t="str">
        <f t="shared" si="20"/>
        <v>[179]={[1]="DIVIDER1"; [2]={["ENGLISH"] = ""; }; };</v>
      </c>
      <c r="N180" t="str">
        <f t="shared" si="21"/>
        <v>[179]={[1]="DIVIDER2"; [2]={["ENGLISH"] = ""; }; };</v>
      </c>
      <c r="O180" t="str">
        <f t="shared" si="22"/>
        <v/>
      </c>
      <c r="P180" t="str">
        <f t="shared" si="23"/>
        <v>[1]=1879361259;</v>
      </c>
      <c r="Q180" t="str">
        <f t="shared" si="24"/>
        <v/>
      </c>
      <c r="R180" t="str">
        <f t="shared" si="25"/>
        <v>[2]={["HARVESTMATH_FESTIVAL"]=18;};</v>
      </c>
      <c r="S180" t="str">
        <f t="shared" si="26"/>
        <v>["HARVESTMATH_FESTIVAL"]=18;</v>
      </c>
      <c r="T180" t="str">
        <f t="shared" si="27"/>
        <v/>
      </c>
    </row>
    <row r="181" spans="3:20" x14ac:dyDescent="0.25">
      <c r="C181" t="s">
        <v>154</v>
      </c>
      <c r="D181">
        <v>1879338597</v>
      </c>
      <c r="G181">
        <v>18</v>
      </c>
      <c r="L181" t="str">
        <f t="shared" si="19"/>
        <v>[180]={[2]={["HARVESTMATH_FESTIVAL"]=18;};[1]=1879338597;}; -- Cloak of the Gloaming Autumn</v>
      </c>
      <c r="M181" t="str">
        <f t="shared" si="20"/>
        <v>[180]={[1]="DIVIDER1"; [2]={["ENGLISH"] = ""; }; };</v>
      </c>
      <c r="N181" t="str">
        <f t="shared" si="21"/>
        <v>[180]={[1]="DIVIDER2"; [2]={["ENGLISH"] = ""; }; };</v>
      </c>
      <c r="O181" t="str">
        <f t="shared" si="22"/>
        <v/>
      </c>
      <c r="P181" t="str">
        <f t="shared" si="23"/>
        <v>[1]=1879338597;</v>
      </c>
      <c r="Q181" t="str">
        <f t="shared" si="24"/>
        <v/>
      </c>
      <c r="R181" t="str">
        <f t="shared" si="25"/>
        <v>[2]={["HARVESTMATH_FESTIVAL"]=18;};</v>
      </c>
      <c r="S181" t="str">
        <f t="shared" si="26"/>
        <v>["HARVESTMATH_FESTIVAL"]=18;</v>
      </c>
      <c r="T181" t="str">
        <f t="shared" si="27"/>
        <v/>
      </c>
    </row>
    <row r="182" spans="3:20" x14ac:dyDescent="0.25">
      <c r="C182" t="s">
        <v>155</v>
      </c>
      <c r="D182">
        <v>1879328785</v>
      </c>
      <c r="G182">
        <v>18</v>
      </c>
      <c r="L182" t="str">
        <f t="shared" si="19"/>
        <v>[181]={[2]={["HARVESTMATH_FESTIVAL"]=18;};[1]=1879328785;}; -- Pack of the Anórien Autumn</v>
      </c>
      <c r="M182" t="str">
        <f t="shared" si="20"/>
        <v>[181]={[1]="DIVIDER1"; [2]={["ENGLISH"] = ""; }; };</v>
      </c>
      <c r="N182" t="str">
        <f t="shared" si="21"/>
        <v>[181]={[1]="DIVIDER2"; [2]={["ENGLISH"] = ""; }; };</v>
      </c>
      <c r="O182" t="str">
        <f t="shared" si="22"/>
        <v/>
      </c>
      <c r="P182" t="str">
        <f t="shared" si="23"/>
        <v>[1]=1879328785;</v>
      </c>
      <c r="Q182" t="str">
        <f t="shared" si="24"/>
        <v/>
      </c>
      <c r="R182" t="str">
        <f t="shared" si="25"/>
        <v>[2]={["HARVESTMATH_FESTIVAL"]=18;};</v>
      </c>
      <c r="S182" t="str">
        <f t="shared" si="26"/>
        <v>["HARVESTMATH_FESTIVAL"]=18;</v>
      </c>
      <c r="T182" t="str">
        <f t="shared" si="27"/>
        <v/>
      </c>
    </row>
    <row r="183" spans="3:20" x14ac:dyDescent="0.25">
      <c r="C183" t="s">
        <v>156</v>
      </c>
      <c r="D183">
        <v>1879315548</v>
      </c>
      <c r="G183">
        <v>18</v>
      </c>
      <c r="L183" t="str">
        <f t="shared" si="19"/>
        <v>[182]={[2]={["HARVESTMATH_FESTIVAL"]=18;};[1]=1879315548;}; -- Cloak of the Autumn Sun</v>
      </c>
      <c r="M183" t="str">
        <f t="shared" si="20"/>
        <v>[182]={[1]="DIVIDER1"; [2]={["ENGLISH"] = ""; }; };</v>
      </c>
      <c r="N183" t="str">
        <f t="shared" si="21"/>
        <v>[182]={[1]="DIVIDER2"; [2]={["ENGLISH"] = ""; }; };</v>
      </c>
      <c r="O183" t="str">
        <f t="shared" si="22"/>
        <v/>
      </c>
      <c r="P183" t="str">
        <f t="shared" si="23"/>
        <v>[1]=1879315548;</v>
      </c>
      <c r="Q183" t="str">
        <f t="shared" si="24"/>
        <v/>
      </c>
      <c r="R183" t="str">
        <f t="shared" si="25"/>
        <v>[2]={["HARVESTMATH_FESTIVAL"]=18;};</v>
      </c>
      <c r="S183" t="str">
        <f t="shared" si="26"/>
        <v>["HARVESTMATH_FESTIVAL"]=18;</v>
      </c>
      <c r="T183" t="str">
        <f t="shared" si="27"/>
        <v/>
      </c>
    </row>
    <row r="184" spans="3:20" x14ac:dyDescent="0.25">
      <c r="C184" t="s">
        <v>157</v>
      </c>
      <c r="D184">
        <v>1879315550</v>
      </c>
      <c r="G184">
        <v>18</v>
      </c>
      <c r="L184" t="str">
        <f t="shared" si="19"/>
        <v>[183]={[2]={["HARVESTMATH_FESTIVAL"]=18;};[1]=1879315550;}; -- Hooded Cloak of the Autumn Sun</v>
      </c>
      <c r="M184" t="str">
        <f t="shared" si="20"/>
        <v>[183]={[1]="DIVIDER1"; [2]={["ENGLISH"] = ""; }; };</v>
      </c>
      <c r="N184" t="str">
        <f t="shared" si="21"/>
        <v>[183]={[1]="DIVIDER2"; [2]={["ENGLISH"] = ""; }; };</v>
      </c>
      <c r="O184" t="str">
        <f t="shared" si="22"/>
        <v/>
      </c>
      <c r="P184" t="str">
        <f t="shared" si="23"/>
        <v>[1]=1879315550;</v>
      </c>
      <c r="Q184" t="str">
        <f t="shared" si="24"/>
        <v/>
      </c>
      <c r="R184" t="str">
        <f t="shared" si="25"/>
        <v>[2]={["HARVESTMATH_FESTIVAL"]=18;};</v>
      </c>
      <c r="S184" t="str">
        <f t="shared" si="26"/>
        <v>["HARVESTMATH_FESTIVAL"]=18;</v>
      </c>
      <c r="T184" t="str">
        <f t="shared" si="27"/>
        <v/>
      </c>
    </row>
    <row r="185" spans="3:20" x14ac:dyDescent="0.25">
      <c r="C185" t="s">
        <v>158</v>
      </c>
      <c r="D185">
        <v>1879277176</v>
      </c>
      <c r="G185">
        <v>18</v>
      </c>
      <c r="L185" t="str">
        <f t="shared" si="19"/>
        <v>[184]={[2]={["HARVESTMATH_FESTIVAL"]=18;};[1]=1879277176;}; -- Spooky Cloak of the Bat</v>
      </c>
      <c r="M185" t="str">
        <f t="shared" si="20"/>
        <v>[184]={[1]="DIVIDER1"; [2]={["ENGLISH"] = ""; }; };</v>
      </c>
      <c r="N185" t="str">
        <f t="shared" si="21"/>
        <v>[184]={[1]="DIVIDER2"; [2]={["ENGLISH"] = ""; }; };</v>
      </c>
      <c r="O185" t="str">
        <f t="shared" si="22"/>
        <v/>
      </c>
      <c r="P185" t="str">
        <f t="shared" si="23"/>
        <v>[1]=1879277176;</v>
      </c>
      <c r="Q185" t="str">
        <f t="shared" si="24"/>
        <v/>
      </c>
      <c r="R185" t="str">
        <f t="shared" si="25"/>
        <v>[2]={["HARVESTMATH_FESTIVAL"]=18;};</v>
      </c>
      <c r="S185" t="str">
        <f t="shared" si="26"/>
        <v>["HARVESTMATH_FESTIVAL"]=18;</v>
      </c>
      <c r="T185" t="str">
        <f t="shared" si="27"/>
        <v/>
      </c>
    </row>
    <row r="186" spans="3:20" x14ac:dyDescent="0.25">
      <c r="C186" t="s">
        <v>159</v>
      </c>
      <c r="D186">
        <v>1879277175</v>
      </c>
      <c r="G186">
        <v>18</v>
      </c>
      <c r="L186" t="str">
        <f t="shared" si="19"/>
        <v>[185]={[2]={["HARVESTMATH_FESTIVAL"]=18;};[1]=1879277175;}; -- Spooky Hooded Cloak of the Bat</v>
      </c>
      <c r="M186" t="str">
        <f t="shared" si="20"/>
        <v>[185]={[1]="DIVIDER1"; [2]={["ENGLISH"] = ""; }; };</v>
      </c>
      <c r="N186" t="str">
        <f t="shared" si="21"/>
        <v>[185]={[1]="DIVIDER2"; [2]={["ENGLISH"] = ""; }; };</v>
      </c>
      <c r="O186" t="str">
        <f t="shared" si="22"/>
        <v/>
      </c>
      <c r="P186" t="str">
        <f t="shared" si="23"/>
        <v>[1]=1879277175;</v>
      </c>
      <c r="Q186" t="str">
        <f t="shared" si="24"/>
        <v/>
      </c>
      <c r="R186" t="str">
        <f t="shared" si="25"/>
        <v>[2]={["HARVESTMATH_FESTIVAL"]=18;};</v>
      </c>
      <c r="S186" t="str">
        <f t="shared" si="26"/>
        <v>["HARVESTMATH_FESTIVAL"]=18;</v>
      </c>
      <c r="T186" t="str">
        <f t="shared" si="27"/>
        <v/>
      </c>
    </row>
    <row r="187" spans="3:20" x14ac:dyDescent="0.25">
      <c r="C187" t="s">
        <v>160</v>
      </c>
      <c r="D187">
        <v>1879255512</v>
      </c>
      <c r="G187">
        <v>18</v>
      </c>
      <c r="L187" t="str">
        <f t="shared" si="19"/>
        <v>[186]={[2]={["HARVESTMATH_FESTIVAL"]=18;};[1]=1879255512;}; -- Harvest-brew Cloak</v>
      </c>
      <c r="M187" t="str">
        <f t="shared" si="20"/>
        <v>[186]={[1]="DIVIDER1"; [2]={["ENGLISH"] = ""; }; };</v>
      </c>
      <c r="N187" t="str">
        <f t="shared" si="21"/>
        <v>[186]={[1]="DIVIDER2"; [2]={["ENGLISH"] = ""; }; };</v>
      </c>
      <c r="O187" t="str">
        <f t="shared" si="22"/>
        <v/>
      </c>
      <c r="P187" t="str">
        <f t="shared" si="23"/>
        <v>[1]=1879255512;</v>
      </c>
      <c r="Q187" t="str">
        <f t="shared" si="24"/>
        <v/>
      </c>
      <c r="R187" t="str">
        <f t="shared" si="25"/>
        <v>[2]={["HARVESTMATH_FESTIVAL"]=18;};</v>
      </c>
      <c r="S187" t="str">
        <f t="shared" si="26"/>
        <v>["HARVESTMATH_FESTIVAL"]=18;</v>
      </c>
      <c r="T187" t="str">
        <f t="shared" si="27"/>
        <v/>
      </c>
    </row>
    <row r="188" spans="3:20" x14ac:dyDescent="0.25">
      <c r="C188" t="s">
        <v>161</v>
      </c>
      <c r="D188">
        <v>1879255514</v>
      </c>
      <c r="G188">
        <v>18</v>
      </c>
      <c r="L188" t="str">
        <f t="shared" si="19"/>
        <v>[187]={[2]={["HARVESTMATH_FESTIVAL"]=18;};[1]=1879255514;}; -- Harvest-brew Hooded Cloak</v>
      </c>
      <c r="M188" t="str">
        <f t="shared" si="20"/>
        <v>[187]={[1]="DIVIDER1"; [2]={["ENGLISH"] = ""; }; };</v>
      </c>
      <c r="N188" t="str">
        <f t="shared" si="21"/>
        <v>[187]={[1]="DIVIDER2"; [2]={["ENGLISH"] = ""; }; };</v>
      </c>
      <c r="O188" t="str">
        <f t="shared" si="22"/>
        <v/>
      </c>
      <c r="P188" t="str">
        <f t="shared" si="23"/>
        <v>[1]=1879255514;</v>
      </c>
      <c r="Q188" t="str">
        <f t="shared" si="24"/>
        <v/>
      </c>
      <c r="R188" t="str">
        <f t="shared" si="25"/>
        <v>[2]={["HARVESTMATH_FESTIVAL"]=18;};</v>
      </c>
      <c r="S188" t="str">
        <f t="shared" si="26"/>
        <v>["HARVESTMATH_FESTIVAL"]=18;</v>
      </c>
      <c r="T188" t="str">
        <f t="shared" si="27"/>
        <v/>
      </c>
    </row>
    <row r="189" spans="3:20" x14ac:dyDescent="0.25">
      <c r="C189" t="s">
        <v>162</v>
      </c>
      <c r="D189">
        <v>1879220547</v>
      </c>
      <c r="G189">
        <v>12</v>
      </c>
      <c r="L189" t="str">
        <f t="shared" si="19"/>
        <v>[188]={[2]={["HARVESTMATH_FESTIVAL"]=12;};[1]=1879220547;}; -- Cloak of Autumn Nights</v>
      </c>
      <c r="M189" t="str">
        <f t="shared" si="20"/>
        <v>[188]={[1]="DIVIDER1"; [2]={["ENGLISH"] = ""; }; };</v>
      </c>
      <c r="N189" t="str">
        <f t="shared" si="21"/>
        <v>[188]={[1]="DIVIDER2"; [2]={["ENGLISH"] = ""; }; };</v>
      </c>
      <c r="O189" t="str">
        <f t="shared" si="22"/>
        <v/>
      </c>
      <c r="P189" t="str">
        <f t="shared" si="23"/>
        <v>[1]=1879220547;</v>
      </c>
      <c r="Q189" t="str">
        <f t="shared" si="24"/>
        <v/>
      </c>
      <c r="R189" t="str">
        <f t="shared" si="25"/>
        <v>[2]={["HARVESTMATH_FESTIVAL"]=12;};</v>
      </c>
      <c r="S189" t="str">
        <f t="shared" si="26"/>
        <v>["HARVESTMATH_FESTIVAL"]=12;</v>
      </c>
      <c r="T189" t="str">
        <f t="shared" si="27"/>
        <v/>
      </c>
    </row>
    <row r="190" spans="3:20" x14ac:dyDescent="0.25">
      <c r="C190" t="s">
        <v>163</v>
      </c>
      <c r="D190">
        <v>1879220546</v>
      </c>
      <c r="G190">
        <v>12</v>
      </c>
      <c r="L190" t="str">
        <f t="shared" si="19"/>
        <v>[189]={[2]={["HARVESTMATH_FESTIVAL"]=12;};[1]=1879220546;}; -- Wrap of the Turning Leaves</v>
      </c>
      <c r="M190" t="str">
        <f t="shared" si="20"/>
        <v>[189]={[1]="DIVIDER1"; [2]={["ENGLISH"] = ""; }; };</v>
      </c>
      <c r="N190" t="str">
        <f t="shared" si="21"/>
        <v>[189]={[1]="DIVIDER2"; [2]={["ENGLISH"] = ""; }; };</v>
      </c>
      <c r="O190" t="str">
        <f t="shared" si="22"/>
        <v/>
      </c>
      <c r="P190" t="str">
        <f t="shared" si="23"/>
        <v>[1]=1879220546;</v>
      </c>
      <c r="Q190" t="str">
        <f t="shared" si="24"/>
        <v/>
      </c>
      <c r="R190" t="str">
        <f t="shared" si="25"/>
        <v>[2]={["HARVESTMATH_FESTIVAL"]=12;};</v>
      </c>
      <c r="S190" t="str">
        <f t="shared" si="26"/>
        <v>["HARVESTMATH_FESTIVAL"]=12;</v>
      </c>
      <c r="T190" t="str">
        <f t="shared" si="27"/>
        <v/>
      </c>
    </row>
    <row r="191" spans="3:20" x14ac:dyDescent="0.25">
      <c r="C191" t="s">
        <v>164</v>
      </c>
      <c r="D191">
        <v>1879191232</v>
      </c>
      <c r="G191">
        <v>12</v>
      </c>
      <c r="L191" t="str">
        <f t="shared" si="19"/>
        <v>[190]={[2]={["HARVESTMATH_FESTIVAL"]=12;};[1]=1879191232;}; -- Cloak of the Falling Leaves</v>
      </c>
      <c r="M191" t="str">
        <f t="shared" si="20"/>
        <v>[190]={[1]="DIVIDER1"; [2]={["ENGLISH"] = ""; }; };</v>
      </c>
      <c r="N191" t="str">
        <f t="shared" si="21"/>
        <v>[190]={[1]="DIVIDER2"; [2]={["ENGLISH"] = ""; }; };</v>
      </c>
      <c r="O191" t="str">
        <f t="shared" si="22"/>
        <v/>
      </c>
      <c r="P191" t="str">
        <f t="shared" si="23"/>
        <v>[1]=1879191232;</v>
      </c>
      <c r="Q191" t="str">
        <f t="shared" si="24"/>
        <v/>
      </c>
      <c r="R191" t="str">
        <f t="shared" si="25"/>
        <v>[2]={["HARVESTMATH_FESTIVAL"]=12;};</v>
      </c>
      <c r="S191" t="str">
        <f t="shared" si="26"/>
        <v>["HARVESTMATH_FESTIVAL"]=12;</v>
      </c>
      <c r="T191" t="str">
        <f t="shared" si="27"/>
        <v/>
      </c>
    </row>
    <row r="192" spans="3:20" x14ac:dyDescent="0.25">
      <c r="C192" t="s">
        <v>165</v>
      </c>
      <c r="D192">
        <v>1879181901</v>
      </c>
      <c r="G192">
        <v>12</v>
      </c>
      <c r="L192" t="str">
        <f t="shared" si="19"/>
        <v>[191]={[2]={["HARVESTMATH_FESTIVAL"]=12;};[1]=1879181901;}; -- Cloak of the Boar</v>
      </c>
      <c r="M192" t="str">
        <f t="shared" si="20"/>
        <v>[191]={[1]="DIVIDER1"; [2]={["ENGLISH"] = ""; }; };</v>
      </c>
      <c r="N192" t="str">
        <f t="shared" si="21"/>
        <v>[191]={[1]="DIVIDER2"; [2]={["ENGLISH"] = ""; }; };</v>
      </c>
      <c r="O192" t="str">
        <f t="shared" si="22"/>
        <v/>
      </c>
      <c r="P192" t="str">
        <f t="shared" si="23"/>
        <v>[1]=1879181901;</v>
      </c>
      <c r="Q192" t="str">
        <f t="shared" si="24"/>
        <v/>
      </c>
      <c r="R192" t="str">
        <f t="shared" si="25"/>
        <v>[2]={["HARVESTMATH_FESTIVAL"]=12;};</v>
      </c>
      <c r="S192" t="str">
        <f t="shared" si="26"/>
        <v>["HARVESTMATH_FESTIVAL"]=12;</v>
      </c>
      <c r="T192" t="str">
        <f t="shared" si="27"/>
        <v/>
      </c>
    </row>
    <row r="193" spans="2:20" x14ac:dyDescent="0.25">
      <c r="C193" t="s">
        <v>166</v>
      </c>
      <c r="D193">
        <v>1879181904</v>
      </c>
      <c r="G193">
        <v>12</v>
      </c>
      <c r="L193" t="str">
        <f t="shared" si="19"/>
        <v>[192]={[2]={["HARVESTMATH_FESTIVAL"]=12;};[1]=1879181904;}; -- Cloak of the Raven</v>
      </c>
      <c r="M193" t="str">
        <f t="shared" si="20"/>
        <v>[192]={[1]="DIVIDER1"; [2]={["ENGLISH"] = ""; }; };</v>
      </c>
      <c r="N193" t="str">
        <f t="shared" si="21"/>
        <v>[192]={[1]="DIVIDER2"; [2]={["ENGLISH"] = ""; }; };</v>
      </c>
      <c r="O193" t="str">
        <f t="shared" si="22"/>
        <v/>
      </c>
      <c r="P193" t="str">
        <f t="shared" si="23"/>
        <v>[1]=1879181904;</v>
      </c>
      <c r="Q193" t="str">
        <f t="shared" si="24"/>
        <v/>
      </c>
      <c r="R193" t="str">
        <f t="shared" si="25"/>
        <v>[2]={["HARVESTMATH_FESTIVAL"]=12;};</v>
      </c>
      <c r="S193" t="str">
        <f t="shared" si="26"/>
        <v>["HARVESTMATH_FESTIVAL"]=12;</v>
      </c>
      <c r="T193" t="str">
        <f t="shared" si="27"/>
        <v/>
      </c>
    </row>
    <row r="194" spans="2:20" x14ac:dyDescent="0.25">
      <c r="B194" t="s">
        <v>167</v>
      </c>
      <c r="L194" t="str">
        <f t="shared" si="19"/>
        <v>[193]={[1]="DIVIDER2"; [2]={["ENGLISH"] = "Hats and Masks"; }; };</v>
      </c>
      <c r="M194" t="str">
        <f t="shared" si="20"/>
        <v>[193]={[1]="DIVIDER1"; [2]={["ENGLISH"] = ""; }; };</v>
      </c>
      <c r="N194" t="str">
        <f t="shared" si="21"/>
        <v>[193]={[1]="DIVIDER2"; [2]={["ENGLISH"] = "Hats and Masks"; }; };</v>
      </c>
      <c r="O194" t="str">
        <f t="shared" si="22"/>
        <v/>
      </c>
      <c r="P194" t="str">
        <f t="shared" si="23"/>
        <v>[1]=;</v>
      </c>
      <c r="Q194" t="str">
        <f t="shared" si="24"/>
        <v/>
      </c>
      <c r="R194" t="str">
        <f t="shared" si="25"/>
        <v>[2]={};</v>
      </c>
      <c r="S194" t="str">
        <f t="shared" si="26"/>
        <v/>
      </c>
      <c r="T194" t="str">
        <f t="shared" si="27"/>
        <v/>
      </c>
    </row>
    <row r="195" spans="2:20" x14ac:dyDescent="0.25">
      <c r="C195" t="s">
        <v>249</v>
      </c>
      <c r="D195">
        <v>1879536593</v>
      </c>
      <c r="G195">
        <v>24</v>
      </c>
      <c r="L195" t="str">
        <f t="shared" ref="L195:L258" si="28">IF(
  NOT(ISBLANK(A195)),
  M195,
  IF(
    NOT(ISBLANK(B195)),
    N195,
    CONCATENATE("[",ROW()-1,"]={",Q195,R195,P195,"};"," -- ",C195)))</f>
        <v>[194]={[2]={["HARVESTMATH_FESTIVAL"]=24;};[1]=1879536593;}; -- Hood of the Midnight Raven</v>
      </c>
      <c r="M195" t="str">
        <f t="shared" ref="M195:M258" si="29">CONCATENATE("[",ROW()-1,"]={[1]=""DIVIDER1""; [2]={[""ENGLISH""] = """,A195,"""; }; ",O195,"};")</f>
        <v>[194]={[1]="DIVIDER1"; [2]={["ENGLISH"] = ""; }; };</v>
      </c>
      <c r="N195" t="str">
        <f t="shared" ref="N195:N258" si="30">CONCATENATE("[",ROW()-1,"]={[1]=""DIVIDER2""; [2]={[""ENGLISH""] = """,B195,"""; }; ",O195,"};")</f>
        <v>[194]={[1]="DIVIDER2"; [2]={["ENGLISH"] = ""; }; };</v>
      </c>
      <c r="O195" t="str">
        <f t="shared" ref="O195:O258" si="31">IF(LEN(J195)&gt;0,CONCATENATE("[""DIVIDER_HEIGHT""] = ",J195,";"),"")</f>
        <v/>
      </c>
      <c r="P195" t="str">
        <f t="shared" ref="P195:P258" si="32">CONCATENATE("[1]=",D195,";")</f>
        <v>[1]=1879536593;</v>
      </c>
      <c r="Q195" t="str">
        <f t="shared" ref="Q195:Q258" si="33">IF(F195&gt;0,CONCATENATE("[3]=",F195,";"),"")</f>
        <v/>
      </c>
      <c r="R195" t="str">
        <f t="shared" ref="R195:R258" si="34">_xlfn.TEXTJOIN("",TRUE,"[2]={",S195:T195,"};")</f>
        <v>[2]={["HARVESTMATH_FESTIVAL"]=24;};</v>
      </c>
      <c r="S195" t="str">
        <f t="shared" ref="S195:S258" si="35">IF(G195&gt;0,CONCATENATE("[""",G$1,"""]=",G195,";"),"")</f>
        <v>["HARVESTMATH_FESTIVAL"]=24;</v>
      </c>
      <c r="T195" t="str">
        <f t="shared" ref="T195:T258" si="36">IF(H195&gt;0,CONCATENATE("[""",H$1,"""]=",H195,";"),"")</f>
        <v/>
      </c>
    </row>
    <row r="196" spans="2:20" x14ac:dyDescent="0.25">
      <c r="C196" t="s">
        <v>21</v>
      </c>
      <c r="D196">
        <v>1879516876</v>
      </c>
      <c r="G196">
        <v>24</v>
      </c>
      <c r="L196" t="str">
        <f t="shared" si="28"/>
        <v>[195]={[2]={["HARVESTMATH_FESTIVAL"]=24;};[1]=1879516876;}; -- Cobweb Hat</v>
      </c>
      <c r="M196" t="str">
        <f t="shared" si="29"/>
        <v>[195]={[1]="DIVIDER1"; [2]={["ENGLISH"] = ""; }; };</v>
      </c>
      <c r="N196" t="str">
        <f t="shared" si="30"/>
        <v>[195]={[1]="DIVIDER2"; [2]={["ENGLISH"] = ""; }; };</v>
      </c>
      <c r="O196" t="str">
        <f t="shared" si="31"/>
        <v/>
      </c>
      <c r="P196" t="str">
        <f t="shared" si="32"/>
        <v>[1]=1879516876;</v>
      </c>
      <c r="Q196" t="str">
        <f t="shared" si="33"/>
        <v/>
      </c>
      <c r="R196" t="str">
        <f t="shared" si="34"/>
        <v>[2]={["HARVESTMATH_FESTIVAL"]=24;};</v>
      </c>
      <c r="S196" t="str">
        <f t="shared" si="35"/>
        <v>["HARVESTMATH_FESTIVAL"]=24;</v>
      </c>
      <c r="T196" t="str">
        <f t="shared" si="36"/>
        <v/>
      </c>
    </row>
    <row r="197" spans="2:20" x14ac:dyDescent="0.25">
      <c r="C197" t="s">
        <v>168</v>
      </c>
      <c r="D197">
        <v>1879493388</v>
      </c>
      <c r="G197">
        <v>24</v>
      </c>
      <c r="L197" t="str">
        <f t="shared" si="28"/>
        <v>[196]={[2]={["HARVESTMATH_FESTIVAL"]=24;};[1]=1879493388;}; -- Wisdom's Mask</v>
      </c>
      <c r="M197" t="str">
        <f t="shared" si="29"/>
        <v>[196]={[1]="DIVIDER1"; [2]={["ENGLISH"] = ""; }; };</v>
      </c>
      <c r="N197" t="str">
        <f t="shared" si="30"/>
        <v>[196]={[1]="DIVIDER2"; [2]={["ENGLISH"] = ""; }; };</v>
      </c>
      <c r="O197" t="str">
        <f t="shared" si="31"/>
        <v/>
      </c>
      <c r="P197" t="str">
        <f t="shared" si="32"/>
        <v>[1]=1879493388;</v>
      </c>
      <c r="Q197" t="str">
        <f t="shared" si="33"/>
        <v/>
      </c>
      <c r="R197" t="str">
        <f t="shared" si="34"/>
        <v>[2]={["HARVESTMATH_FESTIVAL"]=24;};</v>
      </c>
      <c r="S197" t="str">
        <f t="shared" si="35"/>
        <v>["HARVESTMATH_FESTIVAL"]=24;</v>
      </c>
      <c r="T197" t="str">
        <f t="shared" si="36"/>
        <v/>
      </c>
    </row>
    <row r="198" spans="2:20" x14ac:dyDescent="0.25">
      <c r="C198" t="s">
        <v>169</v>
      </c>
      <c r="D198">
        <v>1879470526</v>
      </c>
      <c r="G198">
        <v>24</v>
      </c>
      <c r="L198" t="str">
        <f t="shared" si="28"/>
        <v>[197]={[2]={["HARVESTMATH_FESTIVAL"]=24;};[1]=1879470526;}; -- Mask of the Forest-spirit</v>
      </c>
      <c r="M198" t="str">
        <f t="shared" si="29"/>
        <v>[197]={[1]="DIVIDER1"; [2]={["ENGLISH"] = ""; }; };</v>
      </c>
      <c r="N198" t="str">
        <f t="shared" si="30"/>
        <v>[197]={[1]="DIVIDER2"; [2]={["ENGLISH"] = ""; }; };</v>
      </c>
      <c r="O198" t="str">
        <f t="shared" si="31"/>
        <v/>
      </c>
      <c r="P198" t="str">
        <f t="shared" si="32"/>
        <v>[1]=1879470526;</v>
      </c>
      <c r="Q198" t="str">
        <f t="shared" si="33"/>
        <v/>
      </c>
      <c r="R198" t="str">
        <f t="shared" si="34"/>
        <v>[2]={["HARVESTMATH_FESTIVAL"]=24;};</v>
      </c>
      <c r="S198" t="str">
        <f t="shared" si="35"/>
        <v>["HARVESTMATH_FESTIVAL"]=24;</v>
      </c>
      <c r="T198" t="str">
        <f t="shared" si="36"/>
        <v/>
      </c>
    </row>
    <row r="199" spans="2:20" x14ac:dyDescent="0.25">
      <c r="C199" t="s">
        <v>170</v>
      </c>
      <c r="D199">
        <v>1879412781</v>
      </c>
      <c r="G199">
        <v>24</v>
      </c>
      <c r="L199" t="str">
        <f t="shared" si="28"/>
        <v>[198]={[2]={["HARVESTMATH_FESTIVAL"]=24;};[1]=1879412781;}; -- Mask of the Leaf-turner</v>
      </c>
      <c r="M199" t="str">
        <f t="shared" si="29"/>
        <v>[198]={[1]="DIVIDER1"; [2]={["ENGLISH"] = ""; }; };</v>
      </c>
      <c r="N199" t="str">
        <f t="shared" si="30"/>
        <v>[198]={[1]="DIVIDER2"; [2]={["ENGLISH"] = ""; }; };</v>
      </c>
      <c r="O199" t="str">
        <f t="shared" si="31"/>
        <v/>
      </c>
      <c r="P199" t="str">
        <f t="shared" si="32"/>
        <v>[1]=1879412781;</v>
      </c>
      <c r="Q199" t="str">
        <f t="shared" si="33"/>
        <v/>
      </c>
      <c r="R199" t="str">
        <f t="shared" si="34"/>
        <v>[2]={["HARVESTMATH_FESTIVAL"]=24;};</v>
      </c>
      <c r="S199" t="str">
        <f t="shared" si="35"/>
        <v>["HARVESTMATH_FESTIVAL"]=24;</v>
      </c>
      <c r="T199" t="str">
        <f t="shared" si="36"/>
        <v/>
      </c>
    </row>
    <row r="200" spans="2:20" x14ac:dyDescent="0.25">
      <c r="C200" t="s">
        <v>171</v>
      </c>
      <c r="D200">
        <v>1879381540</v>
      </c>
      <c r="G200">
        <v>18</v>
      </c>
      <c r="L200" t="str">
        <f t="shared" si="28"/>
        <v>[199]={[2]={["HARVESTMATH_FESTIVAL"]=18;};[1]=1879381540;}; -- Mask of the Autumn Wanderer</v>
      </c>
      <c r="M200" t="str">
        <f t="shared" si="29"/>
        <v>[199]={[1]="DIVIDER1"; [2]={["ENGLISH"] = ""; }; };</v>
      </c>
      <c r="N200" t="str">
        <f t="shared" si="30"/>
        <v>[199]={[1]="DIVIDER2"; [2]={["ENGLISH"] = ""; }; };</v>
      </c>
      <c r="O200" t="str">
        <f t="shared" si="31"/>
        <v/>
      </c>
      <c r="P200" t="str">
        <f t="shared" si="32"/>
        <v>[1]=1879381540;</v>
      </c>
      <c r="Q200" t="str">
        <f t="shared" si="33"/>
        <v/>
      </c>
      <c r="R200" t="str">
        <f t="shared" si="34"/>
        <v>[2]={["HARVESTMATH_FESTIVAL"]=18;};</v>
      </c>
      <c r="S200" t="str">
        <f t="shared" si="35"/>
        <v>["HARVESTMATH_FESTIVAL"]=18;</v>
      </c>
      <c r="T200" t="str">
        <f t="shared" si="36"/>
        <v/>
      </c>
    </row>
    <row r="201" spans="2:20" x14ac:dyDescent="0.25">
      <c r="C201" t="s">
        <v>172</v>
      </c>
      <c r="D201">
        <v>1879119388</v>
      </c>
      <c r="G201">
        <v>12</v>
      </c>
      <c r="L201" t="str">
        <f t="shared" si="28"/>
        <v>[200]={[2]={["HARVESTMATH_FESTIVAL"]=12;};[1]=1879119388;}; -- Goblin Festival Mask</v>
      </c>
      <c r="M201" t="str">
        <f t="shared" si="29"/>
        <v>[200]={[1]="DIVIDER1"; [2]={["ENGLISH"] = ""; }; };</v>
      </c>
      <c r="N201" t="str">
        <f t="shared" si="30"/>
        <v>[200]={[1]="DIVIDER2"; [2]={["ENGLISH"] = ""; }; };</v>
      </c>
      <c r="O201" t="str">
        <f t="shared" si="31"/>
        <v/>
      </c>
      <c r="P201" t="str">
        <f t="shared" si="32"/>
        <v>[1]=1879119388;</v>
      </c>
      <c r="Q201" t="str">
        <f t="shared" si="33"/>
        <v/>
      </c>
      <c r="R201" t="str">
        <f t="shared" si="34"/>
        <v>[2]={["HARVESTMATH_FESTIVAL"]=12;};</v>
      </c>
      <c r="S201" t="str">
        <f t="shared" si="35"/>
        <v>["HARVESTMATH_FESTIVAL"]=12;</v>
      </c>
      <c r="T201" t="str">
        <f t="shared" si="36"/>
        <v/>
      </c>
    </row>
    <row r="202" spans="2:20" x14ac:dyDescent="0.25">
      <c r="C202" t="s">
        <v>173</v>
      </c>
      <c r="D202">
        <v>1879181902</v>
      </c>
      <c r="G202">
        <v>12</v>
      </c>
      <c r="L202" t="str">
        <f t="shared" si="28"/>
        <v>[201]={[2]={["HARVESTMATH_FESTIVAL"]=12;};[1]=1879181902;}; -- Boar-head Festival Mask</v>
      </c>
      <c r="M202" t="str">
        <f t="shared" si="29"/>
        <v>[201]={[1]="DIVIDER1"; [2]={["ENGLISH"] = ""; }; };</v>
      </c>
      <c r="N202" t="str">
        <f t="shared" si="30"/>
        <v>[201]={[1]="DIVIDER2"; [2]={["ENGLISH"] = ""; }; };</v>
      </c>
      <c r="O202" t="str">
        <f t="shared" si="31"/>
        <v/>
      </c>
      <c r="P202" t="str">
        <f t="shared" si="32"/>
        <v>[1]=1879181902;</v>
      </c>
      <c r="Q202" t="str">
        <f t="shared" si="33"/>
        <v/>
      </c>
      <c r="R202" t="str">
        <f t="shared" si="34"/>
        <v>[2]={["HARVESTMATH_FESTIVAL"]=12;};</v>
      </c>
      <c r="S202" t="str">
        <f t="shared" si="35"/>
        <v>["HARVESTMATH_FESTIVAL"]=12;</v>
      </c>
      <c r="T202" t="str">
        <f t="shared" si="36"/>
        <v/>
      </c>
    </row>
    <row r="203" spans="2:20" x14ac:dyDescent="0.25">
      <c r="C203" t="s">
        <v>174</v>
      </c>
      <c r="D203">
        <v>1879181903</v>
      </c>
      <c r="G203">
        <v>12</v>
      </c>
      <c r="L203" t="str">
        <f t="shared" si="28"/>
        <v>[202]={[2]={["HARVESTMATH_FESTIVAL"]=12;};[1]=1879181903;}; -- Raven Festival Mask</v>
      </c>
      <c r="M203" t="str">
        <f t="shared" si="29"/>
        <v>[202]={[1]="DIVIDER1"; [2]={["ENGLISH"] = ""; }; };</v>
      </c>
      <c r="N203" t="str">
        <f t="shared" si="30"/>
        <v>[202]={[1]="DIVIDER2"; [2]={["ENGLISH"] = ""; }; };</v>
      </c>
      <c r="O203" t="str">
        <f t="shared" si="31"/>
        <v/>
      </c>
      <c r="P203" t="str">
        <f t="shared" si="32"/>
        <v>[1]=1879181903;</v>
      </c>
      <c r="Q203" t="str">
        <f t="shared" si="33"/>
        <v/>
      </c>
      <c r="R203" t="str">
        <f t="shared" si="34"/>
        <v>[2]={["HARVESTMATH_FESTIVAL"]=12;};</v>
      </c>
      <c r="S203" t="str">
        <f t="shared" si="35"/>
        <v>["HARVESTMATH_FESTIVAL"]=12;</v>
      </c>
      <c r="T203" t="str">
        <f t="shared" si="36"/>
        <v/>
      </c>
    </row>
    <row r="204" spans="2:20" x14ac:dyDescent="0.25">
      <c r="C204" t="s">
        <v>175</v>
      </c>
      <c r="D204">
        <v>1879119390</v>
      </c>
      <c r="G204">
        <v>12</v>
      </c>
      <c r="L204" t="str">
        <f t="shared" si="28"/>
        <v>[203]={[2]={["HARVESTMATH_FESTIVAL"]=12;};[1]=1879119390;}; -- Pipe Festival Mask</v>
      </c>
      <c r="M204" t="str">
        <f t="shared" si="29"/>
        <v>[203]={[1]="DIVIDER1"; [2]={["ENGLISH"] = ""; }; };</v>
      </c>
      <c r="N204" t="str">
        <f t="shared" si="30"/>
        <v>[203]={[1]="DIVIDER2"; [2]={["ENGLISH"] = ""; }; };</v>
      </c>
      <c r="O204" t="str">
        <f t="shared" si="31"/>
        <v/>
      </c>
      <c r="P204" t="str">
        <f t="shared" si="32"/>
        <v>[1]=1879119390;</v>
      </c>
      <c r="Q204" t="str">
        <f t="shared" si="33"/>
        <v/>
      </c>
      <c r="R204" t="str">
        <f t="shared" si="34"/>
        <v>[2]={["HARVESTMATH_FESTIVAL"]=12;};</v>
      </c>
      <c r="S204" t="str">
        <f t="shared" si="35"/>
        <v>["HARVESTMATH_FESTIVAL"]=12;</v>
      </c>
      <c r="T204" t="str">
        <f t="shared" si="36"/>
        <v/>
      </c>
    </row>
    <row r="205" spans="2:20" x14ac:dyDescent="0.25">
      <c r="C205" t="s">
        <v>176</v>
      </c>
      <c r="D205">
        <v>1879255516</v>
      </c>
      <c r="G205">
        <v>18</v>
      </c>
      <c r="L205" t="str">
        <f t="shared" si="28"/>
        <v>[204]={[2]={["HARVESTMATH_FESTIVAL"]=18;};[1]=1879255516;}; -- Harvest-brew Hat</v>
      </c>
      <c r="M205" t="str">
        <f t="shared" si="29"/>
        <v>[204]={[1]="DIVIDER1"; [2]={["ENGLISH"] = ""; }; };</v>
      </c>
      <c r="N205" t="str">
        <f t="shared" si="30"/>
        <v>[204]={[1]="DIVIDER2"; [2]={["ENGLISH"] = ""; }; };</v>
      </c>
      <c r="O205" t="str">
        <f t="shared" si="31"/>
        <v/>
      </c>
      <c r="P205" t="str">
        <f t="shared" si="32"/>
        <v>[1]=1879255516;</v>
      </c>
      <c r="Q205" t="str">
        <f t="shared" si="33"/>
        <v/>
      </c>
      <c r="R205" t="str">
        <f t="shared" si="34"/>
        <v>[2]={["HARVESTMATH_FESTIVAL"]=18;};</v>
      </c>
      <c r="S205" t="str">
        <f t="shared" si="35"/>
        <v>["HARVESTMATH_FESTIVAL"]=18;</v>
      </c>
      <c r="T205" t="str">
        <f t="shared" si="36"/>
        <v/>
      </c>
    </row>
    <row r="206" spans="2:20" x14ac:dyDescent="0.25">
      <c r="C206" t="s">
        <v>177</v>
      </c>
      <c r="D206">
        <v>1879255510</v>
      </c>
      <c r="G206">
        <v>18</v>
      </c>
      <c r="L206" t="str">
        <f t="shared" si="28"/>
        <v>[205]={[2]={["HARVESTMATH_FESTIVAL"]=18;};[1]=1879255510;}; -- Harvest-brew Circlet</v>
      </c>
      <c r="M206" t="str">
        <f t="shared" si="29"/>
        <v>[205]={[1]="DIVIDER1"; [2]={["ENGLISH"] = ""; }; };</v>
      </c>
      <c r="N206" t="str">
        <f t="shared" si="30"/>
        <v>[205]={[1]="DIVIDER2"; [2]={["ENGLISH"] = ""; }; };</v>
      </c>
      <c r="O206" t="str">
        <f t="shared" si="31"/>
        <v/>
      </c>
      <c r="P206" t="str">
        <f t="shared" si="32"/>
        <v>[1]=1879255510;</v>
      </c>
      <c r="Q206" t="str">
        <f t="shared" si="33"/>
        <v/>
      </c>
      <c r="R206" t="str">
        <f t="shared" si="34"/>
        <v>[2]={["HARVESTMATH_FESTIVAL"]=18;};</v>
      </c>
      <c r="S206" t="str">
        <f t="shared" si="35"/>
        <v>["HARVESTMATH_FESTIVAL"]=18;</v>
      </c>
      <c r="T206" t="str">
        <f t="shared" si="36"/>
        <v/>
      </c>
    </row>
    <row r="207" spans="2:20" x14ac:dyDescent="0.25">
      <c r="B207" t="s">
        <v>178</v>
      </c>
      <c r="L207" t="str">
        <f t="shared" si="28"/>
        <v>[206]={[1]="DIVIDER2"; [2]={["ENGLISH"] = "Handheld Cosmetics"; }; };</v>
      </c>
      <c r="M207" t="str">
        <f t="shared" si="29"/>
        <v>[206]={[1]="DIVIDER1"; [2]={["ENGLISH"] = ""; }; };</v>
      </c>
      <c r="N207" t="str">
        <f t="shared" si="30"/>
        <v>[206]={[1]="DIVIDER2"; [2]={["ENGLISH"] = "Handheld Cosmetics"; }; };</v>
      </c>
      <c r="O207" t="str">
        <f t="shared" si="31"/>
        <v/>
      </c>
      <c r="P207" t="str">
        <f t="shared" si="32"/>
        <v>[1]=;</v>
      </c>
      <c r="Q207" t="str">
        <f t="shared" si="33"/>
        <v/>
      </c>
      <c r="R207" t="str">
        <f t="shared" si="34"/>
        <v>[2]={};</v>
      </c>
      <c r="S207" t="str">
        <f t="shared" si="35"/>
        <v/>
      </c>
      <c r="T207" t="str">
        <f t="shared" si="36"/>
        <v/>
      </c>
    </row>
    <row r="208" spans="2:20" x14ac:dyDescent="0.25">
      <c r="C208" t="s">
        <v>24</v>
      </c>
      <c r="D208">
        <v>1879516932</v>
      </c>
      <c r="G208">
        <v>24</v>
      </c>
      <c r="L208" t="str">
        <f t="shared" si="28"/>
        <v>[207]={[2]={["HARVESTMATH_FESTIVAL"]=24;};[1]=1879516932;}; -- Harvestmath Cauldron</v>
      </c>
      <c r="M208" t="str">
        <f t="shared" si="29"/>
        <v>[207]={[1]="DIVIDER1"; [2]={["ENGLISH"] = ""; }; };</v>
      </c>
      <c r="N208" t="str">
        <f t="shared" si="30"/>
        <v>[207]={[1]="DIVIDER2"; [2]={["ENGLISH"] = ""; }; };</v>
      </c>
      <c r="O208" t="str">
        <f t="shared" si="31"/>
        <v/>
      </c>
      <c r="P208" t="str">
        <f t="shared" si="32"/>
        <v>[1]=1879516932;</v>
      </c>
      <c r="Q208" t="str">
        <f t="shared" si="33"/>
        <v/>
      </c>
      <c r="R208" t="str">
        <f t="shared" si="34"/>
        <v>[2]={["HARVESTMATH_FESTIVAL"]=24;};</v>
      </c>
      <c r="S208" t="str">
        <f t="shared" si="35"/>
        <v>["HARVESTMATH_FESTIVAL"]=24;</v>
      </c>
      <c r="T208" t="str">
        <f t="shared" si="36"/>
        <v/>
      </c>
    </row>
    <row r="209" spans="2:20" x14ac:dyDescent="0.25">
      <c r="C209" t="s">
        <v>179</v>
      </c>
      <c r="D209">
        <v>1879255481</v>
      </c>
      <c r="G209">
        <v>18</v>
      </c>
      <c r="L209" t="str">
        <f t="shared" si="28"/>
        <v>[208]={[2]={["HARVESTMATH_FESTIVAL"]=18;};[1]=1879255481;}; -- Beer Stein</v>
      </c>
      <c r="M209" t="str">
        <f t="shared" si="29"/>
        <v>[208]={[1]="DIVIDER1"; [2]={["ENGLISH"] = ""; }; };</v>
      </c>
      <c r="N209" t="str">
        <f t="shared" si="30"/>
        <v>[208]={[1]="DIVIDER2"; [2]={["ENGLISH"] = ""; }; };</v>
      </c>
      <c r="O209" t="str">
        <f t="shared" si="31"/>
        <v/>
      </c>
      <c r="P209" t="str">
        <f t="shared" si="32"/>
        <v>[1]=1879255481;</v>
      </c>
      <c r="Q209" t="str">
        <f t="shared" si="33"/>
        <v/>
      </c>
      <c r="R209" t="str">
        <f t="shared" si="34"/>
        <v>[2]={["HARVESTMATH_FESTIVAL"]=18;};</v>
      </c>
      <c r="S209" t="str">
        <f t="shared" si="35"/>
        <v>["HARVESTMATH_FESTIVAL"]=18;</v>
      </c>
      <c r="T209" t="str">
        <f t="shared" si="36"/>
        <v/>
      </c>
    </row>
    <row r="210" spans="2:20" x14ac:dyDescent="0.25">
      <c r="C210" t="s">
        <v>180</v>
      </c>
      <c r="D210">
        <v>1879208609</v>
      </c>
      <c r="G210">
        <v>18</v>
      </c>
      <c r="L210" t="str">
        <f t="shared" si="28"/>
        <v>[209]={[2]={["HARVESTMATH_FESTIVAL"]=18;};[1]=1879208609;}; -- Basket of Apples</v>
      </c>
      <c r="M210" t="str">
        <f t="shared" si="29"/>
        <v>[209]={[1]="DIVIDER1"; [2]={["ENGLISH"] = ""; }; };</v>
      </c>
      <c r="N210" t="str">
        <f t="shared" si="30"/>
        <v>[209]={[1]="DIVIDER2"; [2]={["ENGLISH"] = ""; }; };</v>
      </c>
      <c r="O210" t="str">
        <f t="shared" si="31"/>
        <v/>
      </c>
      <c r="P210" t="str">
        <f t="shared" si="32"/>
        <v>[1]=1879208609;</v>
      </c>
      <c r="Q210" t="str">
        <f t="shared" si="33"/>
        <v/>
      </c>
      <c r="R210" t="str">
        <f t="shared" si="34"/>
        <v>[2]={["HARVESTMATH_FESTIVAL"]=18;};</v>
      </c>
      <c r="S210" t="str">
        <f t="shared" si="35"/>
        <v>["HARVESTMATH_FESTIVAL"]=18;</v>
      </c>
      <c r="T210" t="str">
        <f t="shared" si="36"/>
        <v/>
      </c>
    </row>
    <row r="211" spans="2:20" x14ac:dyDescent="0.25">
      <c r="C211" t="s">
        <v>181</v>
      </c>
      <c r="D211">
        <v>1879255479</v>
      </c>
      <c r="G211">
        <v>18</v>
      </c>
      <c r="L211" t="str">
        <f t="shared" si="28"/>
        <v>[210]={[2]={["HARVESTMATH_FESTIVAL"]=18;};[1]=1879255479;}; -- Fall Gourd</v>
      </c>
      <c r="M211" t="str">
        <f t="shared" si="29"/>
        <v>[210]={[1]="DIVIDER1"; [2]={["ENGLISH"] = ""; }; };</v>
      </c>
      <c r="N211" t="str">
        <f t="shared" si="30"/>
        <v>[210]={[1]="DIVIDER2"; [2]={["ENGLISH"] = ""; }; };</v>
      </c>
      <c r="O211" t="str">
        <f t="shared" si="31"/>
        <v/>
      </c>
      <c r="P211" t="str">
        <f t="shared" si="32"/>
        <v>[1]=1879255479;</v>
      </c>
      <c r="Q211" t="str">
        <f t="shared" si="33"/>
        <v/>
      </c>
      <c r="R211" t="str">
        <f t="shared" si="34"/>
        <v>[2]={["HARVESTMATH_FESTIVAL"]=18;};</v>
      </c>
      <c r="S211" t="str">
        <f t="shared" si="35"/>
        <v>["HARVESTMATH_FESTIVAL"]=18;</v>
      </c>
      <c r="T211" t="str">
        <f t="shared" si="36"/>
        <v/>
      </c>
    </row>
    <row r="212" spans="2:20" x14ac:dyDescent="0.25">
      <c r="C212" t="s">
        <v>182</v>
      </c>
      <c r="D212">
        <v>1879255482</v>
      </c>
      <c r="G212">
        <v>18</v>
      </c>
      <c r="L212" t="str">
        <f t="shared" si="28"/>
        <v>[211]={[2]={["HARVESTMATH_FESTIVAL"]=18;};[1]=1879255482;}; -- Pretzel</v>
      </c>
      <c r="M212" t="str">
        <f t="shared" si="29"/>
        <v>[211]={[1]="DIVIDER1"; [2]={["ENGLISH"] = ""; }; };</v>
      </c>
      <c r="N212" t="str">
        <f t="shared" si="30"/>
        <v>[211]={[1]="DIVIDER2"; [2]={["ENGLISH"] = ""; }; };</v>
      </c>
      <c r="O212" t="str">
        <f t="shared" si="31"/>
        <v/>
      </c>
      <c r="P212" t="str">
        <f t="shared" si="32"/>
        <v>[1]=1879255482;</v>
      </c>
      <c r="Q212" t="str">
        <f t="shared" si="33"/>
        <v/>
      </c>
      <c r="R212" t="str">
        <f t="shared" si="34"/>
        <v>[2]={["HARVESTMATH_FESTIVAL"]=18;};</v>
      </c>
      <c r="S212" t="str">
        <f t="shared" si="35"/>
        <v>["HARVESTMATH_FESTIVAL"]=18;</v>
      </c>
      <c r="T212" t="str">
        <f t="shared" si="36"/>
        <v/>
      </c>
    </row>
    <row r="213" spans="2:20" x14ac:dyDescent="0.25">
      <c r="B213" t="s">
        <v>183</v>
      </c>
      <c r="L213" t="str">
        <f t="shared" si="28"/>
        <v>[212]={[1]="DIVIDER2"; [2]={["ENGLISH"] = "Housing Items - 1"; }; };</v>
      </c>
      <c r="M213" t="str">
        <f t="shared" si="29"/>
        <v>[212]={[1]="DIVIDER1"; [2]={["ENGLISH"] = ""; }; };</v>
      </c>
      <c r="N213" t="str">
        <f t="shared" si="30"/>
        <v>[212]={[1]="DIVIDER2"; [2]={["ENGLISH"] = "Housing Items - 1"; }; };</v>
      </c>
      <c r="O213" t="str">
        <f t="shared" si="31"/>
        <v/>
      </c>
      <c r="P213" t="str">
        <f t="shared" si="32"/>
        <v>[1]=;</v>
      </c>
      <c r="Q213" t="str">
        <f t="shared" si="33"/>
        <v/>
      </c>
      <c r="R213" t="str">
        <f t="shared" si="34"/>
        <v>[2]={};</v>
      </c>
      <c r="S213" t="str">
        <f t="shared" si="35"/>
        <v/>
      </c>
      <c r="T213" t="str">
        <f t="shared" si="36"/>
        <v/>
      </c>
    </row>
    <row r="214" spans="2:20" x14ac:dyDescent="0.25">
      <c r="C214" t="s">
        <v>250</v>
      </c>
      <c r="D214">
        <v>1879536599</v>
      </c>
      <c r="G214">
        <v>10</v>
      </c>
      <c r="L214" t="str">
        <f t="shared" si="28"/>
        <v>[213]={[2]={["HARVESTMATH_FESTIVAL"]=10;};[1]=1879536599;}; -- Chair of the Midnight Raven</v>
      </c>
      <c r="M214" t="str">
        <f t="shared" si="29"/>
        <v>[213]={[1]="DIVIDER1"; [2]={["ENGLISH"] = ""; }; };</v>
      </c>
      <c r="N214" t="str">
        <f t="shared" si="30"/>
        <v>[213]={[1]="DIVIDER2"; [2]={["ENGLISH"] = ""; }; };</v>
      </c>
      <c r="O214" t="str">
        <f t="shared" si="31"/>
        <v/>
      </c>
      <c r="P214" t="str">
        <f t="shared" si="32"/>
        <v>[1]=1879536599;</v>
      </c>
      <c r="Q214" t="str">
        <f t="shared" si="33"/>
        <v/>
      </c>
      <c r="R214" t="str">
        <f t="shared" si="34"/>
        <v>[2]={["HARVESTMATH_FESTIVAL"]=10;};</v>
      </c>
      <c r="S214" t="str">
        <f t="shared" si="35"/>
        <v>["HARVESTMATH_FESTIVAL"]=10;</v>
      </c>
      <c r="T214" t="str">
        <f t="shared" si="36"/>
        <v/>
      </c>
    </row>
    <row r="215" spans="2:20" x14ac:dyDescent="0.25">
      <c r="C215" t="s">
        <v>251</v>
      </c>
      <c r="D215">
        <v>1879536600</v>
      </c>
      <c r="G215">
        <v>15</v>
      </c>
      <c r="L215" t="str">
        <f t="shared" si="28"/>
        <v>[214]={[2]={["HARVESTMATH_FESTIVAL"]=15;};[1]=1879536600;}; -- Table of the Midnight Raven</v>
      </c>
      <c r="M215" t="str">
        <f t="shared" si="29"/>
        <v>[214]={[1]="DIVIDER1"; [2]={["ENGLISH"] = ""; }; };</v>
      </c>
      <c r="N215" t="str">
        <f t="shared" si="30"/>
        <v>[214]={[1]="DIVIDER2"; [2]={["ENGLISH"] = ""; }; };</v>
      </c>
      <c r="O215" t="str">
        <f t="shared" si="31"/>
        <v/>
      </c>
      <c r="P215" t="str">
        <f t="shared" si="32"/>
        <v>[1]=1879536600;</v>
      </c>
      <c r="Q215" t="str">
        <f t="shared" si="33"/>
        <v/>
      </c>
      <c r="R215" t="str">
        <f t="shared" si="34"/>
        <v>[2]={["HARVESTMATH_FESTIVAL"]=15;};</v>
      </c>
      <c r="S215" t="str">
        <f t="shared" si="35"/>
        <v>["HARVESTMATH_FESTIVAL"]=15;</v>
      </c>
      <c r="T215" t="str">
        <f t="shared" si="36"/>
        <v/>
      </c>
    </row>
    <row r="216" spans="2:20" x14ac:dyDescent="0.25">
      <c r="C216" t="s">
        <v>252</v>
      </c>
      <c r="D216">
        <v>1879536598</v>
      </c>
      <c r="G216">
        <v>30</v>
      </c>
      <c r="L216" t="str">
        <f t="shared" si="28"/>
        <v>[215]={[2]={["HARVESTMATH_FESTIVAL"]=30;};[1]=1879536598;}; -- Working Table of the Midnight Raven</v>
      </c>
      <c r="M216" t="str">
        <f t="shared" si="29"/>
        <v>[215]={[1]="DIVIDER1"; [2]={["ENGLISH"] = ""; }; };</v>
      </c>
      <c r="N216" t="str">
        <f t="shared" si="30"/>
        <v>[215]={[1]="DIVIDER2"; [2]={["ENGLISH"] = ""; }; };</v>
      </c>
      <c r="O216" t="str">
        <f t="shared" si="31"/>
        <v/>
      </c>
      <c r="P216" t="str">
        <f t="shared" si="32"/>
        <v>[1]=1879536598;</v>
      </c>
      <c r="Q216" t="str">
        <f t="shared" si="33"/>
        <v/>
      </c>
      <c r="R216" t="str">
        <f t="shared" si="34"/>
        <v>[2]={["HARVESTMATH_FESTIVAL"]=30;};</v>
      </c>
      <c r="S216" t="str">
        <f t="shared" si="35"/>
        <v>["HARVESTMATH_FESTIVAL"]=30;</v>
      </c>
      <c r="T216" t="str">
        <f t="shared" si="36"/>
        <v/>
      </c>
    </row>
    <row r="217" spans="2:20" x14ac:dyDescent="0.25">
      <c r="C217" t="s">
        <v>253</v>
      </c>
      <c r="D217">
        <v>1879498896</v>
      </c>
      <c r="G217">
        <v>8</v>
      </c>
      <c r="L217" t="str">
        <f t="shared" si="28"/>
        <v>[216]={[2]={["HARVESTMATH_FESTIVAL"]=8;};[1]=1879498896;}; -- Small Bonepile</v>
      </c>
      <c r="M217" t="str">
        <f t="shared" si="29"/>
        <v>[216]={[1]="DIVIDER1"; [2]={["ENGLISH"] = ""; }; };</v>
      </c>
      <c r="N217" t="str">
        <f t="shared" si="30"/>
        <v>[216]={[1]="DIVIDER2"; [2]={["ENGLISH"] = ""; }; };</v>
      </c>
      <c r="O217" t="str">
        <f t="shared" si="31"/>
        <v/>
      </c>
      <c r="P217" t="str">
        <f t="shared" si="32"/>
        <v>[1]=1879498896;</v>
      </c>
      <c r="Q217" t="str">
        <f t="shared" si="33"/>
        <v/>
      </c>
      <c r="R217" t="str">
        <f t="shared" si="34"/>
        <v>[2]={["HARVESTMATH_FESTIVAL"]=8;};</v>
      </c>
      <c r="S217" t="str">
        <f t="shared" si="35"/>
        <v>["HARVESTMATH_FESTIVAL"]=8;</v>
      </c>
      <c r="T217" t="str">
        <f t="shared" si="36"/>
        <v/>
      </c>
    </row>
    <row r="218" spans="2:20" x14ac:dyDescent="0.25">
      <c r="C218" t="s">
        <v>254</v>
      </c>
      <c r="D218">
        <v>1879498897</v>
      </c>
      <c r="G218">
        <v>12</v>
      </c>
      <c r="L218" t="str">
        <f t="shared" si="28"/>
        <v>[217]={[2]={["HARVESTMATH_FESTIVAL"]=12;};[1]=1879498897;}; -- Medium Bonepile</v>
      </c>
      <c r="M218" t="str">
        <f t="shared" si="29"/>
        <v>[217]={[1]="DIVIDER1"; [2]={["ENGLISH"] = ""; }; };</v>
      </c>
      <c r="N218" t="str">
        <f t="shared" si="30"/>
        <v>[217]={[1]="DIVIDER2"; [2]={["ENGLISH"] = ""; }; };</v>
      </c>
      <c r="O218" t="str">
        <f t="shared" si="31"/>
        <v/>
      </c>
      <c r="P218" t="str">
        <f t="shared" si="32"/>
        <v>[1]=1879498897;</v>
      </c>
      <c r="Q218" t="str">
        <f t="shared" si="33"/>
        <v/>
      </c>
      <c r="R218" t="str">
        <f t="shared" si="34"/>
        <v>[2]={["HARVESTMATH_FESTIVAL"]=12;};</v>
      </c>
      <c r="S218" t="str">
        <f t="shared" si="35"/>
        <v>["HARVESTMATH_FESTIVAL"]=12;</v>
      </c>
      <c r="T218" t="str">
        <f t="shared" si="36"/>
        <v/>
      </c>
    </row>
    <row r="219" spans="2:20" x14ac:dyDescent="0.25">
      <c r="C219" t="s">
        <v>255</v>
      </c>
      <c r="D219">
        <v>1879498898</v>
      </c>
      <c r="G219">
        <v>18</v>
      </c>
      <c r="L219" t="str">
        <f t="shared" si="28"/>
        <v>[218]={[2]={["HARVESTMATH_FESTIVAL"]=18;};[1]=1879498898;}; -- Large Bonepile</v>
      </c>
      <c r="M219" t="str">
        <f t="shared" si="29"/>
        <v>[218]={[1]="DIVIDER1"; [2]={["ENGLISH"] = ""; }; };</v>
      </c>
      <c r="N219" t="str">
        <f t="shared" si="30"/>
        <v>[218]={[1]="DIVIDER2"; [2]={["ENGLISH"] = ""; }; };</v>
      </c>
      <c r="O219" t="str">
        <f t="shared" si="31"/>
        <v/>
      </c>
      <c r="P219" t="str">
        <f t="shared" si="32"/>
        <v>[1]=1879498898;</v>
      </c>
      <c r="Q219" t="str">
        <f t="shared" si="33"/>
        <v/>
      </c>
      <c r="R219" t="str">
        <f t="shared" si="34"/>
        <v>[2]={["HARVESTMATH_FESTIVAL"]=18;};</v>
      </c>
      <c r="S219" t="str">
        <f t="shared" si="35"/>
        <v>["HARVESTMATH_FESTIVAL"]=18;</v>
      </c>
      <c r="T219" t="str">
        <f t="shared" si="36"/>
        <v/>
      </c>
    </row>
    <row r="220" spans="2:20" x14ac:dyDescent="0.25">
      <c r="C220" t="s">
        <v>256</v>
      </c>
      <c r="D220">
        <v>1879517277</v>
      </c>
      <c r="G220">
        <v>20</v>
      </c>
      <c r="L220" t="str">
        <f t="shared" si="28"/>
        <v>[219]={[2]={["HARVESTMATH_FESTIVAL"]=20;};[1]=1879517277;}; -- Dark Ritual Altar</v>
      </c>
      <c r="M220" t="str">
        <f t="shared" si="29"/>
        <v>[219]={[1]="DIVIDER1"; [2]={["ENGLISH"] = ""; }; };</v>
      </c>
      <c r="N220" t="str">
        <f t="shared" si="30"/>
        <v>[219]={[1]="DIVIDER2"; [2]={["ENGLISH"] = ""; }; };</v>
      </c>
      <c r="O220" t="str">
        <f t="shared" si="31"/>
        <v/>
      </c>
      <c r="P220" t="str">
        <f t="shared" si="32"/>
        <v>[1]=1879517277;</v>
      </c>
      <c r="Q220" t="str">
        <f t="shared" si="33"/>
        <v/>
      </c>
      <c r="R220" t="str">
        <f t="shared" si="34"/>
        <v>[2]={["HARVESTMATH_FESTIVAL"]=20;};</v>
      </c>
      <c r="S220" t="str">
        <f t="shared" si="35"/>
        <v>["HARVESTMATH_FESTIVAL"]=20;</v>
      </c>
      <c r="T220" t="str">
        <f t="shared" si="36"/>
        <v/>
      </c>
    </row>
    <row r="221" spans="2:20" x14ac:dyDescent="0.25">
      <c r="C221" t="s">
        <v>257</v>
      </c>
      <c r="D221">
        <v>1879517278</v>
      </c>
      <c r="G221">
        <v>20</v>
      </c>
      <c r="L221" t="str">
        <f t="shared" si="28"/>
        <v>[220]={[2]={["HARVESTMATH_FESTIVAL"]=20;};[1]=1879517278;}; -- Blood-stained Dark Ritual Altar</v>
      </c>
      <c r="M221" t="str">
        <f t="shared" si="29"/>
        <v>[220]={[1]="DIVIDER1"; [2]={["ENGLISH"] = ""; }; };</v>
      </c>
      <c r="N221" t="str">
        <f t="shared" si="30"/>
        <v>[220]={[1]="DIVIDER2"; [2]={["ENGLISH"] = ""; }; };</v>
      </c>
      <c r="O221" t="str">
        <f t="shared" si="31"/>
        <v/>
      </c>
      <c r="P221" t="str">
        <f t="shared" si="32"/>
        <v>[1]=1879517278;</v>
      </c>
      <c r="Q221" t="str">
        <f t="shared" si="33"/>
        <v/>
      </c>
      <c r="R221" t="str">
        <f t="shared" si="34"/>
        <v>[2]={["HARVESTMATH_FESTIVAL"]=20;};</v>
      </c>
      <c r="S221" t="str">
        <f t="shared" si="35"/>
        <v>["HARVESTMATH_FESTIVAL"]=20;</v>
      </c>
      <c r="T221" t="str">
        <f t="shared" si="36"/>
        <v/>
      </c>
    </row>
    <row r="222" spans="2:20" x14ac:dyDescent="0.25">
      <c r="C222" t="s">
        <v>258</v>
      </c>
      <c r="D222">
        <v>1879517279</v>
      </c>
      <c r="G222">
        <v>20</v>
      </c>
      <c r="L222" t="str">
        <f t="shared" si="28"/>
        <v>[221]={[2]={["HARVESTMATH_FESTIVAL"]=20;};[1]=1879517279;}; -- Marble Ritual Altar</v>
      </c>
      <c r="M222" t="str">
        <f t="shared" si="29"/>
        <v>[221]={[1]="DIVIDER1"; [2]={["ENGLISH"] = ""; }; };</v>
      </c>
      <c r="N222" t="str">
        <f t="shared" si="30"/>
        <v>[221]={[1]="DIVIDER2"; [2]={["ENGLISH"] = ""; }; };</v>
      </c>
      <c r="O222" t="str">
        <f t="shared" si="31"/>
        <v/>
      </c>
      <c r="P222" t="str">
        <f t="shared" si="32"/>
        <v>[1]=1879517279;</v>
      </c>
      <c r="Q222" t="str">
        <f t="shared" si="33"/>
        <v/>
      </c>
      <c r="R222" t="str">
        <f t="shared" si="34"/>
        <v>[2]={["HARVESTMATH_FESTIVAL"]=20;};</v>
      </c>
      <c r="S222" t="str">
        <f t="shared" si="35"/>
        <v>["HARVESTMATH_FESTIVAL"]=20;</v>
      </c>
      <c r="T222" t="str">
        <f t="shared" si="36"/>
        <v/>
      </c>
    </row>
    <row r="223" spans="2:20" x14ac:dyDescent="0.25">
      <c r="C223" t="s">
        <v>259</v>
      </c>
      <c r="D223">
        <v>1879517280</v>
      </c>
      <c r="G223">
        <v>20</v>
      </c>
      <c r="L223" t="str">
        <f t="shared" si="28"/>
        <v>[222]={[2]={["HARVESTMATH_FESTIVAL"]=20;};[1]=1879517280;}; -- Blood-stained Marble Ritual Altar</v>
      </c>
      <c r="M223" t="str">
        <f t="shared" si="29"/>
        <v>[222]={[1]="DIVIDER1"; [2]={["ENGLISH"] = ""; }; };</v>
      </c>
      <c r="N223" t="str">
        <f t="shared" si="30"/>
        <v>[222]={[1]="DIVIDER2"; [2]={["ENGLISH"] = ""; }; };</v>
      </c>
      <c r="O223" t="str">
        <f t="shared" si="31"/>
        <v/>
      </c>
      <c r="P223" t="str">
        <f t="shared" si="32"/>
        <v>[1]=1879517280;</v>
      </c>
      <c r="Q223" t="str">
        <f t="shared" si="33"/>
        <v/>
      </c>
      <c r="R223" t="str">
        <f t="shared" si="34"/>
        <v>[2]={["HARVESTMATH_FESTIVAL"]=20;};</v>
      </c>
      <c r="S223" t="str">
        <f t="shared" si="35"/>
        <v>["HARVESTMATH_FESTIVAL"]=20;</v>
      </c>
      <c r="T223" t="str">
        <f t="shared" si="36"/>
        <v/>
      </c>
    </row>
    <row r="224" spans="2:20" x14ac:dyDescent="0.25">
      <c r="C224" t="s">
        <v>28</v>
      </c>
      <c r="D224">
        <v>1879516933</v>
      </c>
      <c r="G224">
        <v>30</v>
      </c>
      <c r="L224" t="str">
        <f t="shared" si="28"/>
        <v>[223]={[2]={["HARVESTMATH_FESTIVAL"]=30;};[1]=1879516933;}; -- Heating Cauldron</v>
      </c>
      <c r="M224" t="str">
        <f t="shared" si="29"/>
        <v>[223]={[1]="DIVIDER1"; [2]={["ENGLISH"] = ""; }; };</v>
      </c>
      <c r="N224" t="str">
        <f t="shared" si="30"/>
        <v>[223]={[1]="DIVIDER2"; [2]={["ENGLISH"] = ""; }; };</v>
      </c>
      <c r="O224" t="str">
        <f t="shared" si="31"/>
        <v/>
      </c>
      <c r="P224" t="str">
        <f t="shared" si="32"/>
        <v>[1]=1879516933;</v>
      </c>
      <c r="Q224" t="str">
        <f t="shared" si="33"/>
        <v/>
      </c>
      <c r="R224" t="str">
        <f t="shared" si="34"/>
        <v>[2]={["HARVESTMATH_FESTIVAL"]=30;};</v>
      </c>
      <c r="S224" t="str">
        <f t="shared" si="35"/>
        <v>["HARVESTMATH_FESTIVAL"]=30;</v>
      </c>
      <c r="T224" t="str">
        <f t="shared" si="36"/>
        <v/>
      </c>
    </row>
    <row r="225" spans="2:20" x14ac:dyDescent="0.25">
      <c r="C225" t="s">
        <v>29</v>
      </c>
      <c r="D225">
        <v>1879508822</v>
      </c>
      <c r="G225">
        <v>30</v>
      </c>
      <c r="L225" t="str">
        <f t="shared" si="28"/>
        <v>[224]={[2]={["HARVESTMATH_FESTIVAL"]=30;};[1]=1879508822;}; -- Small Potions Table</v>
      </c>
      <c r="M225" t="str">
        <f t="shared" si="29"/>
        <v>[224]={[1]="DIVIDER1"; [2]={["ENGLISH"] = ""; }; };</v>
      </c>
      <c r="N225" t="str">
        <f t="shared" si="30"/>
        <v>[224]={[1]="DIVIDER2"; [2]={["ENGLISH"] = ""; }; };</v>
      </c>
      <c r="O225" t="str">
        <f t="shared" si="31"/>
        <v/>
      </c>
      <c r="P225" t="str">
        <f t="shared" si="32"/>
        <v>[1]=1879508822;</v>
      </c>
      <c r="Q225" t="str">
        <f t="shared" si="33"/>
        <v/>
      </c>
      <c r="R225" t="str">
        <f t="shared" si="34"/>
        <v>[2]={["HARVESTMATH_FESTIVAL"]=30;};</v>
      </c>
      <c r="S225" t="str">
        <f t="shared" si="35"/>
        <v>["HARVESTMATH_FESTIVAL"]=30;</v>
      </c>
      <c r="T225" t="str">
        <f t="shared" si="36"/>
        <v/>
      </c>
    </row>
    <row r="226" spans="2:20" x14ac:dyDescent="0.25">
      <c r="C226" t="s">
        <v>30</v>
      </c>
      <c r="D226">
        <v>1879498938</v>
      </c>
      <c r="G226">
        <v>12</v>
      </c>
      <c r="L226" t="str">
        <f t="shared" si="28"/>
        <v>[225]={[2]={["HARVESTMATH_FESTIVAL"]=12;};[1]=1879498938;}; -- Pumpkins</v>
      </c>
      <c r="M226" t="str">
        <f t="shared" si="29"/>
        <v>[225]={[1]="DIVIDER1"; [2]={["ENGLISH"] = ""; }; };</v>
      </c>
      <c r="N226" t="str">
        <f t="shared" si="30"/>
        <v>[225]={[1]="DIVIDER2"; [2]={["ENGLISH"] = ""; }; };</v>
      </c>
      <c r="O226" t="str">
        <f t="shared" si="31"/>
        <v/>
      </c>
      <c r="P226" t="str">
        <f t="shared" si="32"/>
        <v>[1]=1879498938;</v>
      </c>
      <c r="Q226" t="str">
        <f t="shared" si="33"/>
        <v/>
      </c>
      <c r="R226" t="str">
        <f t="shared" si="34"/>
        <v>[2]={["HARVESTMATH_FESTIVAL"]=12;};</v>
      </c>
      <c r="S226" t="str">
        <f t="shared" si="35"/>
        <v>["HARVESTMATH_FESTIVAL"]=12;</v>
      </c>
      <c r="T226" t="str">
        <f t="shared" si="36"/>
        <v/>
      </c>
    </row>
    <row r="227" spans="2:20" x14ac:dyDescent="0.25">
      <c r="C227" t="s">
        <v>31</v>
      </c>
      <c r="D227">
        <v>1879518296</v>
      </c>
      <c r="G227">
        <v>10</v>
      </c>
      <c r="L227" t="str">
        <f t="shared" si="28"/>
        <v>[226]={[2]={["HARVESTMATH_FESTIVAL"]=10;};[1]=1879518296;}; -- 'Spooky' Themes</v>
      </c>
      <c r="M227" t="str">
        <f t="shared" si="29"/>
        <v>[226]={[1]="DIVIDER1"; [2]={["ENGLISH"] = ""; }; };</v>
      </c>
      <c r="N227" t="str">
        <f t="shared" si="30"/>
        <v>[226]={[1]="DIVIDER2"; [2]={["ENGLISH"] = ""; }; };</v>
      </c>
      <c r="O227" t="str">
        <f t="shared" si="31"/>
        <v/>
      </c>
      <c r="P227" t="str">
        <f t="shared" si="32"/>
        <v>[1]=1879518296;</v>
      </c>
      <c r="Q227" t="str">
        <f t="shared" si="33"/>
        <v/>
      </c>
      <c r="R227" t="str">
        <f t="shared" si="34"/>
        <v>[2]={["HARVESTMATH_FESTIVAL"]=10;};</v>
      </c>
      <c r="S227" t="str">
        <f t="shared" si="35"/>
        <v>["HARVESTMATH_FESTIVAL"]=10;</v>
      </c>
      <c r="T227" t="str">
        <f t="shared" si="36"/>
        <v/>
      </c>
    </row>
    <row r="228" spans="2:20" x14ac:dyDescent="0.25">
      <c r="C228" t="s">
        <v>32</v>
      </c>
      <c r="D228">
        <v>1879518294</v>
      </c>
      <c r="G228">
        <v>10</v>
      </c>
      <c r="L228" t="str">
        <f t="shared" si="28"/>
        <v>[227]={[2]={["HARVESTMATH_FESTIVAL"]=10;};[1]=1879518294;}; -- 'Haunted House' Ambience</v>
      </c>
      <c r="M228" t="str">
        <f t="shared" si="29"/>
        <v>[227]={[1]="DIVIDER1"; [2]={["ENGLISH"] = ""; }; };</v>
      </c>
      <c r="N228" t="str">
        <f t="shared" si="30"/>
        <v>[227]={[1]="DIVIDER2"; [2]={["ENGLISH"] = ""; }; };</v>
      </c>
      <c r="O228" t="str">
        <f t="shared" si="31"/>
        <v/>
      </c>
      <c r="P228" t="str">
        <f t="shared" si="32"/>
        <v>[1]=1879518294;</v>
      </c>
      <c r="Q228" t="str">
        <f t="shared" si="33"/>
        <v/>
      </c>
      <c r="R228" t="str">
        <f t="shared" si="34"/>
        <v>[2]={["HARVESTMATH_FESTIVAL"]=10;};</v>
      </c>
      <c r="S228" t="str">
        <f t="shared" si="35"/>
        <v>["HARVESTMATH_FESTIVAL"]=10;</v>
      </c>
      <c r="T228" t="str">
        <f t="shared" si="36"/>
        <v/>
      </c>
    </row>
    <row r="229" spans="2:20" x14ac:dyDescent="0.25">
      <c r="C229" t="s">
        <v>33</v>
      </c>
      <c r="D229">
        <v>1879518295</v>
      </c>
      <c r="G229">
        <v>10</v>
      </c>
      <c r="L229" t="str">
        <f t="shared" si="28"/>
        <v>[228]={[2]={["HARVESTMATH_FESTIVAL"]=10;};[1]=1879518295;}; -- 'Haunted Yard' Ambience</v>
      </c>
      <c r="M229" t="str">
        <f t="shared" si="29"/>
        <v>[228]={[1]="DIVIDER1"; [2]={["ENGLISH"] = ""; }; };</v>
      </c>
      <c r="N229" t="str">
        <f t="shared" si="30"/>
        <v>[228]={[1]="DIVIDER2"; [2]={["ENGLISH"] = ""; }; };</v>
      </c>
      <c r="O229" t="str">
        <f t="shared" si="31"/>
        <v/>
      </c>
      <c r="P229" t="str">
        <f t="shared" si="32"/>
        <v>[1]=1879518295;</v>
      </c>
      <c r="Q229" t="str">
        <f t="shared" si="33"/>
        <v/>
      </c>
      <c r="R229" t="str">
        <f t="shared" si="34"/>
        <v>[2]={["HARVESTMATH_FESTIVAL"]=10;};</v>
      </c>
      <c r="S229" t="str">
        <f t="shared" si="35"/>
        <v>["HARVESTMATH_FESTIVAL"]=10;</v>
      </c>
      <c r="T229" t="str">
        <f t="shared" si="36"/>
        <v/>
      </c>
    </row>
    <row r="230" spans="2:20" x14ac:dyDescent="0.25">
      <c r="C230" t="s">
        <v>34</v>
      </c>
      <c r="D230">
        <v>1879501058</v>
      </c>
      <c r="G230">
        <v>8</v>
      </c>
      <c r="L230" t="str">
        <f t="shared" si="28"/>
        <v>[229]={[2]={["HARVESTMATH_FESTIVAL"]=8;};[1]=1879501058;}; -- Webbed Thorny Hedge</v>
      </c>
      <c r="M230" t="str">
        <f t="shared" si="29"/>
        <v>[229]={[1]="DIVIDER1"; [2]={["ENGLISH"] = ""; }; };</v>
      </c>
      <c r="N230" t="str">
        <f t="shared" si="30"/>
        <v>[229]={[1]="DIVIDER2"; [2]={["ENGLISH"] = ""; }; };</v>
      </c>
      <c r="O230" t="str">
        <f t="shared" si="31"/>
        <v/>
      </c>
      <c r="P230" t="str">
        <f t="shared" si="32"/>
        <v>[1]=1879501058;</v>
      </c>
      <c r="Q230" t="str">
        <f t="shared" si="33"/>
        <v/>
      </c>
      <c r="R230" t="str">
        <f t="shared" si="34"/>
        <v>[2]={["HARVESTMATH_FESTIVAL"]=8;};</v>
      </c>
      <c r="S230" t="str">
        <f t="shared" si="35"/>
        <v>["HARVESTMATH_FESTIVAL"]=8;</v>
      </c>
      <c r="T230" t="str">
        <f t="shared" si="36"/>
        <v/>
      </c>
    </row>
    <row r="231" spans="2:20" x14ac:dyDescent="0.25">
      <c r="C231" t="s">
        <v>35</v>
      </c>
      <c r="D231">
        <v>1879501055</v>
      </c>
      <c r="G231">
        <v>8</v>
      </c>
      <c r="L231" t="str">
        <f t="shared" si="28"/>
        <v>[230]={[2]={["HARVESTMATH_FESTIVAL"]=8;};[1]=1879501055;}; -- Wild Webbed Hedge</v>
      </c>
      <c r="M231" t="str">
        <f t="shared" si="29"/>
        <v>[230]={[1]="DIVIDER1"; [2]={["ENGLISH"] = ""; }; };</v>
      </c>
      <c r="N231" t="str">
        <f t="shared" si="30"/>
        <v>[230]={[1]="DIVIDER2"; [2]={["ENGLISH"] = ""; }; };</v>
      </c>
      <c r="O231" t="str">
        <f t="shared" si="31"/>
        <v/>
      </c>
      <c r="P231" t="str">
        <f t="shared" si="32"/>
        <v>[1]=1879501055;</v>
      </c>
      <c r="Q231" t="str">
        <f t="shared" si="33"/>
        <v/>
      </c>
      <c r="R231" t="str">
        <f t="shared" si="34"/>
        <v>[2]={["HARVESTMATH_FESTIVAL"]=8;};</v>
      </c>
      <c r="S231" t="str">
        <f t="shared" si="35"/>
        <v>["HARVESTMATH_FESTIVAL"]=8;</v>
      </c>
      <c r="T231" t="str">
        <f t="shared" si="36"/>
        <v/>
      </c>
    </row>
    <row r="232" spans="2:20" x14ac:dyDescent="0.25">
      <c r="B232" t="s">
        <v>184</v>
      </c>
      <c r="L232" t="str">
        <f t="shared" si="28"/>
        <v>[231]={[1]="DIVIDER2"; [2]={["ENGLISH"] = "Housing Items - 2"; }; };</v>
      </c>
      <c r="M232" t="str">
        <f t="shared" si="29"/>
        <v>[231]={[1]="DIVIDER1"; [2]={["ENGLISH"] = ""; }; };</v>
      </c>
      <c r="N232" t="str">
        <f t="shared" si="30"/>
        <v>[231]={[1]="DIVIDER2"; [2]={["ENGLISH"] = "Housing Items - 2"; }; };</v>
      </c>
      <c r="O232" t="str">
        <f t="shared" si="31"/>
        <v/>
      </c>
      <c r="P232" t="str">
        <f t="shared" si="32"/>
        <v>[1]=;</v>
      </c>
      <c r="Q232" t="str">
        <f t="shared" si="33"/>
        <v/>
      </c>
      <c r="R232" t="str">
        <f t="shared" si="34"/>
        <v>[2]={};</v>
      </c>
      <c r="S232" t="str">
        <f t="shared" si="35"/>
        <v/>
      </c>
      <c r="T232" t="str">
        <f t="shared" si="36"/>
        <v/>
      </c>
    </row>
    <row r="233" spans="2:20" x14ac:dyDescent="0.25">
      <c r="C233" t="s">
        <v>185</v>
      </c>
      <c r="D233">
        <v>1879460528</v>
      </c>
      <c r="G233">
        <v>24</v>
      </c>
      <c r="L233" t="str">
        <f t="shared" si="28"/>
        <v>[232]={[2]={["HARVESTMATH_FESTIVAL"]=24;};[1]=1879460528;}; -- Small Grove of Fiery Fall Trees</v>
      </c>
      <c r="M233" t="str">
        <f t="shared" si="29"/>
        <v>[232]={[1]="DIVIDER1"; [2]={["ENGLISH"] = ""; }; };</v>
      </c>
      <c r="N233" t="str">
        <f t="shared" si="30"/>
        <v>[232]={[1]="DIVIDER2"; [2]={["ENGLISH"] = ""; }; };</v>
      </c>
      <c r="O233" t="str">
        <f t="shared" si="31"/>
        <v/>
      </c>
      <c r="P233" t="str">
        <f t="shared" si="32"/>
        <v>[1]=1879460528;</v>
      </c>
      <c r="Q233" t="str">
        <f t="shared" si="33"/>
        <v/>
      </c>
      <c r="R233" t="str">
        <f t="shared" si="34"/>
        <v>[2]={["HARVESTMATH_FESTIVAL"]=24;};</v>
      </c>
      <c r="S233" t="str">
        <f t="shared" si="35"/>
        <v>["HARVESTMATH_FESTIVAL"]=24;</v>
      </c>
      <c r="T233" t="str">
        <f t="shared" si="36"/>
        <v/>
      </c>
    </row>
    <row r="234" spans="2:20" x14ac:dyDescent="0.25">
      <c r="C234" t="s">
        <v>186</v>
      </c>
      <c r="D234">
        <v>1879493558</v>
      </c>
      <c r="G234">
        <v>24</v>
      </c>
      <c r="L234" t="str">
        <f t="shared" si="28"/>
        <v>[233]={[2]={["HARVESTMATH_FESTIVAL"]=24;};[1]=1879493558;}; -- Harvest Pumpkin Planter</v>
      </c>
      <c r="M234" t="str">
        <f t="shared" si="29"/>
        <v>[233]={[1]="DIVIDER1"; [2]={["ENGLISH"] = ""; }; };</v>
      </c>
      <c r="N234" t="str">
        <f t="shared" si="30"/>
        <v>[233]={[1]="DIVIDER2"; [2]={["ENGLISH"] = ""; }; };</v>
      </c>
      <c r="O234" t="str">
        <f t="shared" si="31"/>
        <v/>
      </c>
      <c r="P234" t="str">
        <f t="shared" si="32"/>
        <v>[1]=1879493558;</v>
      </c>
      <c r="Q234" t="str">
        <f t="shared" si="33"/>
        <v/>
      </c>
      <c r="R234" t="str">
        <f t="shared" si="34"/>
        <v>[2]={["HARVESTMATH_FESTIVAL"]=24;};</v>
      </c>
      <c r="S234" t="str">
        <f t="shared" si="35"/>
        <v>["HARVESTMATH_FESTIVAL"]=24;</v>
      </c>
      <c r="T234" t="str">
        <f t="shared" si="36"/>
        <v/>
      </c>
    </row>
    <row r="235" spans="2:20" x14ac:dyDescent="0.25">
      <c r="C235" t="s">
        <v>187</v>
      </c>
      <c r="D235">
        <v>1879361890</v>
      </c>
      <c r="G235">
        <v>18</v>
      </c>
      <c r="L235" t="str">
        <f t="shared" si="28"/>
        <v>[234]={[2]={["HARVESTMATH_FESTIVAL"]=18;};[1]=1879361890;}; -- Pillar of Hay</v>
      </c>
      <c r="M235" t="str">
        <f t="shared" si="29"/>
        <v>[234]={[1]="DIVIDER1"; [2]={["ENGLISH"] = ""; }; };</v>
      </c>
      <c r="N235" t="str">
        <f t="shared" si="30"/>
        <v>[234]={[1]="DIVIDER2"; [2]={["ENGLISH"] = ""; }; };</v>
      </c>
      <c r="O235" t="str">
        <f t="shared" si="31"/>
        <v/>
      </c>
      <c r="P235" t="str">
        <f t="shared" si="32"/>
        <v>[1]=1879361890;</v>
      </c>
      <c r="Q235" t="str">
        <f t="shared" si="33"/>
        <v/>
      </c>
      <c r="R235" t="str">
        <f t="shared" si="34"/>
        <v>[2]={["HARVESTMATH_FESTIVAL"]=18;};</v>
      </c>
      <c r="S235" t="str">
        <f t="shared" si="35"/>
        <v>["HARVESTMATH_FESTIVAL"]=18;</v>
      </c>
      <c r="T235" t="str">
        <f t="shared" si="36"/>
        <v/>
      </c>
    </row>
    <row r="236" spans="2:20" x14ac:dyDescent="0.25">
      <c r="C236" t="s">
        <v>188</v>
      </c>
      <c r="D236">
        <v>1879361889</v>
      </c>
      <c r="G236">
        <v>18</v>
      </c>
      <c r="L236" t="str">
        <f t="shared" si="28"/>
        <v>[235]={[2]={["HARVESTMATH_FESTIVAL"]=18;};[1]=1879361889;}; -- Loosely Packed Pillar of Hay</v>
      </c>
      <c r="M236" t="str">
        <f t="shared" si="29"/>
        <v>[235]={[1]="DIVIDER1"; [2]={["ENGLISH"] = ""; }; };</v>
      </c>
      <c r="N236" t="str">
        <f t="shared" si="30"/>
        <v>[235]={[1]="DIVIDER2"; [2]={["ENGLISH"] = ""; }; };</v>
      </c>
      <c r="O236" t="str">
        <f t="shared" si="31"/>
        <v/>
      </c>
      <c r="P236" t="str">
        <f t="shared" si="32"/>
        <v>[1]=1879361889;</v>
      </c>
      <c r="Q236" t="str">
        <f t="shared" si="33"/>
        <v/>
      </c>
      <c r="R236" t="str">
        <f t="shared" si="34"/>
        <v>[2]={["HARVESTMATH_FESTIVAL"]=18;};</v>
      </c>
      <c r="S236" t="str">
        <f t="shared" si="35"/>
        <v>["HARVESTMATH_FESTIVAL"]=18;</v>
      </c>
      <c r="T236" t="str">
        <f t="shared" si="36"/>
        <v/>
      </c>
    </row>
    <row r="237" spans="2:20" x14ac:dyDescent="0.25">
      <c r="C237" t="s">
        <v>189</v>
      </c>
      <c r="D237">
        <v>1879101927</v>
      </c>
      <c r="G237">
        <v>40</v>
      </c>
      <c r="L237" t="str">
        <f t="shared" si="28"/>
        <v>[236]={[2]={["HARVESTMATH_FESTIVAL"]=40;};[1]=1879101927;}; -- Scarecrow</v>
      </c>
      <c r="M237" t="str">
        <f t="shared" si="29"/>
        <v>[236]={[1]="DIVIDER1"; [2]={["ENGLISH"] = ""; }; };</v>
      </c>
      <c r="N237" t="str">
        <f t="shared" si="30"/>
        <v>[236]={[1]="DIVIDER2"; [2]={["ENGLISH"] = ""; }; };</v>
      </c>
      <c r="O237" t="str">
        <f t="shared" si="31"/>
        <v/>
      </c>
      <c r="P237" t="str">
        <f t="shared" si="32"/>
        <v>[1]=1879101927;</v>
      </c>
      <c r="Q237" t="str">
        <f t="shared" si="33"/>
        <v/>
      </c>
      <c r="R237" t="str">
        <f t="shared" si="34"/>
        <v>[2]={["HARVESTMATH_FESTIVAL"]=40;};</v>
      </c>
      <c r="S237" t="str">
        <f t="shared" si="35"/>
        <v>["HARVESTMATH_FESTIVAL"]=40;</v>
      </c>
      <c r="T237" t="str">
        <f t="shared" si="36"/>
        <v/>
      </c>
    </row>
    <row r="238" spans="2:20" x14ac:dyDescent="0.25">
      <c r="C238" t="s">
        <v>190</v>
      </c>
      <c r="D238">
        <v>1879381925</v>
      </c>
      <c r="G238">
        <v>18</v>
      </c>
      <c r="L238" t="str">
        <f t="shared" si="28"/>
        <v>[237]={[2]={["HARVESTMATH_FESTIVAL"]=18;};[1]=1879381925;}; -- Mounted Warg with Candle</v>
      </c>
      <c r="M238" t="str">
        <f t="shared" si="29"/>
        <v>[237]={[1]="DIVIDER1"; [2]={["ENGLISH"] = ""; }; };</v>
      </c>
      <c r="N238" t="str">
        <f t="shared" si="30"/>
        <v>[237]={[1]="DIVIDER2"; [2]={["ENGLISH"] = ""; }; };</v>
      </c>
      <c r="O238" t="str">
        <f t="shared" si="31"/>
        <v/>
      </c>
      <c r="P238" t="str">
        <f t="shared" si="32"/>
        <v>[1]=1879381925;</v>
      </c>
      <c r="Q238" t="str">
        <f t="shared" si="33"/>
        <v/>
      </c>
      <c r="R238" t="str">
        <f t="shared" si="34"/>
        <v>[2]={["HARVESTMATH_FESTIVAL"]=18;};</v>
      </c>
      <c r="S238" t="str">
        <f t="shared" si="35"/>
        <v>["HARVESTMATH_FESTIVAL"]=18;</v>
      </c>
      <c r="T238" t="str">
        <f t="shared" si="36"/>
        <v/>
      </c>
    </row>
    <row r="239" spans="2:20" x14ac:dyDescent="0.25">
      <c r="C239" t="s">
        <v>191</v>
      </c>
      <c r="D239">
        <v>1879059596</v>
      </c>
      <c r="G239">
        <v>18</v>
      </c>
      <c r="L239" t="str">
        <f t="shared" si="28"/>
        <v>[238]={[2]={["HARVESTMATH_FESTIVAL"]=18;};[1]=1879059596;}; -- Cauldron</v>
      </c>
      <c r="M239" t="str">
        <f t="shared" si="29"/>
        <v>[238]={[1]="DIVIDER1"; [2]={["ENGLISH"] = ""; }; };</v>
      </c>
      <c r="N239" t="str">
        <f t="shared" si="30"/>
        <v>[238]={[1]="DIVIDER2"; [2]={["ENGLISH"] = ""; }; };</v>
      </c>
      <c r="O239" t="str">
        <f t="shared" si="31"/>
        <v/>
      </c>
      <c r="P239" t="str">
        <f t="shared" si="32"/>
        <v>[1]=1879059596;</v>
      </c>
      <c r="Q239" t="str">
        <f t="shared" si="33"/>
        <v/>
      </c>
      <c r="R239" t="str">
        <f t="shared" si="34"/>
        <v>[2]={["HARVESTMATH_FESTIVAL"]=18;};</v>
      </c>
      <c r="S239" t="str">
        <f t="shared" si="35"/>
        <v>["HARVESTMATH_FESTIVAL"]=18;</v>
      </c>
      <c r="T239" t="str">
        <f t="shared" si="36"/>
        <v/>
      </c>
    </row>
    <row r="240" spans="2:20" x14ac:dyDescent="0.25">
      <c r="C240" t="s">
        <v>192</v>
      </c>
      <c r="D240">
        <v>1879381912</v>
      </c>
      <c r="G240">
        <v>18</v>
      </c>
      <c r="L240" t="str">
        <f t="shared" si="28"/>
        <v>[239]={[2]={["HARVESTMATH_FESTIVAL"]=18;};[1]=1879381912;}; -- Wicked Cage</v>
      </c>
      <c r="M240" t="str">
        <f t="shared" si="29"/>
        <v>[239]={[1]="DIVIDER1"; [2]={["ENGLISH"] = ""; }; };</v>
      </c>
      <c r="N240" t="str">
        <f t="shared" si="30"/>
        <v>[239]={[1]="DIVIDER2"; [2]={["ENGLISH"] = ""; }; };</v>
      </c>
      <c r="O240" t="str">
        <f t="shared" si="31"/>
        <v/>
      </c>
      <c r="P240" t="str">
        <f t="shared" si="32"/>
        <v>[1]=1879381912;</v>
      </c>
      <c r="Q240" t="str">
        <f t="shared" si="33"/>
        <v/>
      </c>
      <c r="R240" t="str">
        <f t="shared" si="34"/>
        <v>[2]={["HARVESTMATH_FESTIVAL"]=18;};</v>
      </c>
      <c r="S240" t="str">
        <f t="shared" si="35"/>
        <v>["HARVESTMATH_FESTIVAL"]=18;</v>
      </c>
      <c r="T240" t="str">
        <f t="shared" si="36"/>
        <v/>
      </c>
    </row>
    <row r="241" spans="3:20" x14ac:dyDescent="0.25">
      <c r="C241" t="s">
        <v>193</v>
      </c>
      <c r="D241">
        <v>1879382084</v>
      </c>
      <c r="G241">
        <v>18</v>
      </c>
      <c r="L241" t="str">
        <f t="shared" si="28"/>
        <v>[240]={[2]={["HARVESTMATH_FESTIVAL"]=18;};[1]=1879382084;}; -- Long-burning Candlestand</v>
      </c>
      <c r="M241" t="str">
        <f t="shared" si="29"/>
        <v>[240]={[1]="DIVIDER1"; [2]={["ENGLISH"] = ""; }; };</v>
      </c>
      <c r="N241" t="str">
        <f t="shared" si="30"/>
        <v>[240]={[1]="DIVIDER2"; [2]={["ENGLISH"] = ""; }; };</v>
      </c>
      <c r="O241" t="str">
        <f t="shared" si="31"/>
        <v/>
      </c>
      <c r="P241" t="str">
        <f t="shared" si="32"/>
        <v>[1]=1879382084;</v>
      </c>
      <c r="Q241" t="str">
        <f t="shared" si="33"/>
        <v/>
      </c>
      <c r="R241" t="str">
        <f t="shared" si="34"/>
        <v>[2]={["HARVESTMATH_FESTIVAL"]=18;};</v>
      </c>
      <c r="S241" t="str">
        <f t="shared" si="35"/>
        <v>["HARVESTMATH_FESTIVAL"]=18;</v>
      </c>
      <c r="T241" t="str">
        <f t="shared" si="36"/>
        <v/>
      </c>
    </row>
    <row r="242" spans="3:20" x14ac:dyDescent="0.25">
      <c r="C242" t="s">
        <v>194</v>
      </c>
      <c r="D242">
        <v>1879382035</v>
      </c>
      <c r="G242">
        <v>30</v>
      </c>
      <c r="L242" t="str">
        <f t="shared" si="28"/>
        <v>[241]={[2]={["HARVESTMATH_FESTIVAL"]=30;};[1]=1879382035;}; -- Decorative Gourds</v>
      </c>
      <c r="M242" t="str">
        <f t="shared" si="29"/>
        <v>[241]={[1]="DIVIDER1"; [2]={["ENGLISH"] = ""; }; };</v>
      </c>
      <c r="N242" t="str">
        <f t="shared" si="30"/>
        <v>[241]={[1]="DIVIDER2"; [2]={["ENGLISH"] = ""; }; };</v>
      </c>
      <c r="O242" t="str">
        <f t="shared" si="31"/>
        <v/>
      </c>
      <c r="P242" t="str">
        <f t="shared" si="32"/>
        <v>[1]=1879382035;</v>
      </c>
      <c r="Q242" t="str">
        <f t="shared" si="33"/>
        <v/>
      </c>
      <c r="R242" t="str">
        <f t="shared" si="34"/>
        <v>[2]={["HARVESTMATH_FESTIVAL"]=30;};</v>
      </c>
      <c r="S242" t="str">
        <f t="shared" si="35"/>
        <v>["HARVESTMATH_FESTIVAL"]=30;</v>
      </c>
      <c r="T242" t="str">
        <f t="shared" si="36"/>
        <v/>
      </c>
    </row>
    <row r="243" spans="3:20" x14ac:dyDescent="0.25">
      <c r="C243" t="s">
        <v>195</v>
      </c>
      <c r="D243">
        <v>1879382038</v>
      </c>
      <c r="G243">
        <v>30</v>
      </c>
      <c r="L243" t="str">
        <f t="shared" si="28"/>
        <v>[242]={[2]={["HARVESTMATH_FESTIVAL"]=30;};[1]=1879382038;}; -- Potions Table</v>
      </c>
      <c r="M243" t="str">
        <f t="shared" si="29"/>
        <v>[242]={[1]="DIVIDER1"; [2]={["ENGLISH"] = ""; }; };</v>
      </c>
      <c r="N243" t="str">
        <f t="shared" si="30"/>
        <v>[242]={[1]="DIVIDER2"; [2]={["ENGLISH"] = ""; }; };</v>
      </c>
      <c r="O243" t="str">
        <f t="shared" si="31"/>
        <v/>
      </c>
      <c r="P243" t="str">
        <f t="shared" si="32"/>
        <v>[1]=1879382038;</v>
      </c>
      <c r="Q243" t="str">
        <f t="shared" si="33"/>
        <v/>
      </c>
      <c r="R243" t="str">
        <f t="shared" si="34"/>
        <v>[2]={["HARVESTMATH_FESTIVAL"]=30;};</v>
      </c>
      <c r="S243" t="str">
        <f t="shared" si="35"/>
        <v>["HARVESTMATH_FESTIVAL"]=30;</v>
      </c>
      <c r="T243" t="str">
        <f t="shared" si="36"/>
        <v/>
      </c>
    </row>
    <row r="244" spans="3:20" x14ac:dyDescent="0.25">
      <c r="C244" t="s">
        <v>196</v>
      </c>
      <c r="D244">
        <v>1879382105</v>
      </c>
      <c r="G244">
        <v>12</v>
      </c>
      <c r="L244" t="str">
        <f t="shared" si="28"/>
        <v>[243]={[2]={["HARVESTMATH_FESTIVAL"]=12;};[1]=1879382105;}; -- Ceiling Bat</v>
      </c>
      <c r="M244" t="str">
        <f t="shared" si="29"/>
        <v>[243]={[1]="DIVIDER1"; [2]={["ENGLISH"] = ""; }; };</v>
      </c>
      <c r="N244" t="str">
        <f t="shared" si="30"/>
        <v>[243]={[1]="DIVIDER2"; [2]={["ENGLISH"] = ""; }; };</v>
      </c>
      <c r="O244" t="str">
        <f t="shared" si="31"/>
        <v/>
      </c>
      <c r="P244" t="str">
        <f t="shared" si="32"/>
        <v>[1]=1879382105;</v>
      </c>
      <c r="Q244" t="str">
        <f t="shared" si="33"/>
        <v/>
      </c>
      <c r="R244" t="str">
        <f t="shared" si="34"/>
        <v>[2]={["HARVESTMATH_FESTIVAL"]=12;};</v>
      </c>
      <c r="S244" t="str">
        <f t="shared" si="35"/>
        <v>["HARVESTMATH_FESTIVAL"]=12;</v>
      </c>
      <c r="T244" t="str">
        <f t="shared" si="36"/>
        <v/>
      </c>
    </row>
    <row r="245" spans="3:20" x14ac:dyDescent="0.25">
      <c r="C245" t="s">
        <v>197</v>
      </c>
      <c r="D245">
        <v>1879381906</v>
      </c>
      <c r="G245">
        <v>12</v>
      </c>
      <c r="L245" t="str">
        <f t="shared" si="28"/>
        <v>[244]={[2]={["HARVESTMATH_FESTIVAL"]=12;};[1]=1879381906;}; -- Ceiling Spider</v>
      </c>
      <c r="M245" t="str">
        <f t="shared" si="29"/>
        <v>[244]={[1]="DIVIDER1"; [2]={["ENGLISH"] = ""; }; };</v>
      </c>
      <c r="N245" t="str">
        <f t="shared" si="30"/>
        <v>[244]={[1]="DIVIDER2"; [2]={["ENGLISH"] = ""; }; };</v>
      </c>
      <c r="O245" t="str">
        <f t="shared" si="31"/>
        <v/>
      </c>
      <c r="P245" t="str">
        <f t="shared" si="32"/>
        <v>[1]=1879381906;</v>
      </c>
      <c r="Q245" t="str">
        <f t="shared" si="33"/>
        <v/>
      </c>
      <c r="R245" t="str">
        <f t="shared" si="34"/>
        <v>[2]={["HARVESTMATH_FESTIVAL"]=12;};</v>
      </c>
      <c r="S245" t="str">
        <f t="shared" si="35"/>
        <v>["HARVESTMATH_FESTIVAL"]=12;</v>
      </c>
      <c r="T245" t="str">
        <f t="shared" si="36"/>
        <v/>
      </c>
    </row>
    <row r="246" spans="3:20" x14ac:dyDescent="0.25">
      <c r="C246" t="s">
        <v>198</v>
      </c>
      <c r="D246">
        <v>1879382011</v>
      </c>
      <c r="G246">
        <v>24</v>
      </c>
      <c r="L246" t="str">
        <f t="shared" si="28"/>
        <v>[245]={[2]={["HARVESTMATH_FESTIVAL"]=24;};[1]=1879382011;}; -- Spooky Chair</v>
      </c>
      <c r="M246" t="str">
        <f t="shared" si="29"/>
        <v>[245]={[1]="DIVIDER1"; [2]={["ENGLISH"] = ""; }; };</v>
      </c>
      <c r="N246" t="str">
        <f t="shared" si="30"/>
        <v>[245]={[1]="DIVIDER2"; [2]={["ENGLISH"] = ""; }; };</v>
      </c>
      <c r="O246" t="str">
        <f t="shared" si="31"/>
        <v/>
      </c>
      <c r="P246" t="str">
        <f t="shared" si="32"/>
        <v>[1]=1879382011;</v>
      </c>
      <c r="Q246" t="str">
        <f t="shared" si="33"/>
        <v/>
      </c>
      <c r="R246" t="str">
        <f t="shared" si="34"/>
        <v>[2]={["HARVESTMATH_FESTIVAL"]=24;};</v>
      </c>
      <c r="S246" t="str">
        <f t="shared" si="35"/>
        <v>["HARVESTMATH_FESTIVAL"]=24;</v>
      </c>
      <c r="T246" t="str">
        <f t="shared" si="36"/>
        <v/>
      </c>
    </row>
    <row r="247" spans="3:20" x14ac:dyDescent="0.25">
      <c r="C247" t="s">
        <v>199</v>
      </c>
      <c r="D247">
        <v>1879393759</v>
      </c>
      <c r="G247">
        <v>18</v>
      </c>
      <c r="L247" t="str">
        <f t="shared" si="28"/>
        <v>[246]={[2]={["HARVESTMATH_FESTIVAL"]=18;};[1]=1879393759;}; -- Ancient Beech Tree</v>
      </c>
      <c r="M247" t="str">
        <f t="shared" si="29"/>
        <v>[246]={[1]="DIVIDER1"; [2]={["ENGLISH"] = ""; }; };</v>
      </c>
      <c r="N247" t="str">
        <f t="shared" si="30"/>
        <v>[246]={[1]="DIVIDER2"; [2]={["ENGLISH"] = ""; }; };</v>
      </c>
      <c r="O247" t="str">
        <f t="shared" si="31"/>
        <v/>
      </c>
      <c r="P247" t="str">
        <f t="shared" si="32"/>
        <v>[1]=1879393759;</v>
      </c>
      <c r="Q247" t="str">
        <f t="shared" si="33"/>
        <v/>
      </c>
      <c r="R247" t="str">
        <f t="shared" si="34"/>
        <v>[2]={["HARVESTMATH_FESTIVAL"]=18;};</v>
      </c>
      <c r="S247" t="str">
        <f t="shared" si="35"/>
        <v>["HARVESTMATH_FESTIVAL"]=18;</v>
      </c>
      <c r="T247" t="str">
        <f t="shared" si="36"/>
        <v/>
      </c>
    </row>
    <row r="248" spans="3:20" x14ac:dyDescent="0.25">
      <c r="C248" t="s">
        <v>200</v>
      </c>
      <c r="D248">
        <v>1879393756</v>
      </c>
      <c r="G248">
        <v>12</v>
      </c>
      <c r="L248" t="str">
        <f t="shared" si="28"/>
        <v>[247]={[2]={["HARVESTMATH_FESTIVAL"]=12;};[1]=1879393756;}; -- Barrel of Gladdens</v>
      </c>
      <c r="M248" t="str">
        <f t="shared" si="29"/>
        <v>[247]={[1]="DIVIDER1"; [2]={["ENGLISH"] = ""; }; };</v>
      </c>
      <c r="N248" t="str">
        <f t="shared" si="30"/>
        <v>[247]={[1]="DIVIDER2"; [2]={["ENGLISH"] = ""; }; };</v>
      </c>
      <c r="O248" t="str">
        <f t="shared" si="31"/>
        <v/>
      </c>
      <c r="P248" t="str">
        <f t="shared" si="32"/>
        <v>[1]=1879393756;</v>
      </c>
      <c r="Q248" t="str">
        <f t="shared" si="33"/>
        <v/>
      </c>
      <c r="R248" t="str">
        <f t="shared" si="34"/>
        <v>[2]={["HARVESTMATH_FESTIVAL"]=12;};</v>
      </c>
      <c r="S248" t="str">
        <f t="shared" si="35"/>
        <v>["HARVESTMATH_FESTIVAL"]=12;</v>
      </c>
      <c r="T248" t="str">
        <f t="shared" si="36"/>
        <v/>
      </c>
    </row>
    <row r="249" spans="3:20" x14ac:dyDescent="0.25">
      <c r="C249" t="s">
        <v>201</v>
      </c>
      <c r="D249">
        <v>1879412863</v>
      </c>
      <c r="G249">
        <v>30</v>
      </c>
      <c r="L249" t="str">
        <f t="shared" si="28"/>
        <v>[248]={[2]={["HARVESTMATH_FESTIVAL"]=30;};[1]=1879412863;}; -- Chest of the Spider-queen</v>
      </c>
      <c r="M249" t="str">
        <f t="shared" si="29"/>
        <v>[248]={[1]="DIVIDER1"; [2]={["ENGLISH"] = ""; }; };</v>
      </c>
      <c r="N249" t="str">
        <f t="shared" si="30"/>
        <v>[248]={[1]="DIVIDER2"; [2]={["ENGLISH"] = ""; }; };</v>
      </c>
      <c r="O249" t="str">
        <f t="shared" si="31"/>
        <v/>
      </c>
      <c r="P249" t="str">
        <f t="shared" si="32"/>
        <v>[1]=1879412863;</v>
      </c>
      <c r="Q249" t="str">
        <f t="shared" si="33"/>
        <v/>
      </c>
      <c r="R249" t="str">
        <f t="shared" si="34"/>
        <v>[2]={["HARVESTMATH_FESTIVAL"]=30;};</v>
      </c>
      <c r="S249" t="str">
        <f t="shared" si="35"/>
        <v>["HARVESTMATH_FESTIVAL"]=30;</v>
      </c>
      <c r="T249" t="str">
        <f t="shared" si="36"/>
        <v/>
      </c>
    </row>
    <row r="250" spans="3:20" x14ac:dyDescent="0.25">
      <c r="C250" t="s">
        <v>202</v>
      </c>
      <c r="D250">
        <v>1879339204</v>
      </c>
      <c r="G250">
        <v>24</v>
      </c>
      <c r="L250" t="str">
        <f t="shared" si="28"/>
        <v>[249]={[2]={["HARVESTMATH_FESTIVAL"]=24;};[1]=1879339204;}; -- Ginger Cat on a Cushion</v>
      </c>
      <c r="M250" t="str">
        <f t="shared" si="29"/>
        <v>[249]={[1]="DIVIDER1"; [2]={["ENGLISH"] = ""; }; };</v>
      </c>
      <c r="N250" t="str">
        <f t="shared" si="30"/>
        <v>[249]={[1]="DIVIDER2"; [2]={["ENGLISH"] = ""; }; };</v>
      </c>
      <c r="O250" t="str">
        <f t="shared" si="31"/>
        <v/>
      </c>
      <c r="P250" t="str">
        <f t="shared" si="32"/>
        <v>[1]=1879339204;</v>
      </c>
      <c r="Q250" t="str">
        <f t="shared" si="33"/>
        <v/>
      </c>
      <c r="R250" t="str">
        <f t="shared" si="34"/>
        <v>[2]={["HARVESTMATH_FESTIVAL"]=24;};</v>
      </c>
      <c r="S250" t="str">
        <f t="shared" si="35"/>
        <v>["HARVESTMATH_FESTIVAL"]=24;</v>
      </c>
      <c r="T250" t="str">
        <f t="shared" si="36"/>
        <v/>
      </c>
    </row>
    <row r="251" spans="3:20" x14ac:dyDescent="0.25">
      <c r="C251" t="s">
        <v>203</v>
      </c>
      <c r="D251">
        <v>1879339214</v>
      </c>
      <c r="G251">
        <v>24</v>
      </c>
      <c r="L251" t="str">
        <f t="shared" si="28"/>
        <v>[250]={[2]={["HARVESTMATH_FESTIVAL"]=24;};[1]=1879339214;}; -- Whiteshirt Cat on a Cushion</v>
      </c>
      <c r="M251" t="str">
        <f t="shared" si="29"/>
        <v>[250]={[1]="DIVIDER1"; [2]={["ENGLISH"] = ""; }; };</v>
      </c>
      <c r="N251" t="str">
        <f t="shared" si="30"/>
        <v>[250]={[1]="DIVIDER2"; [2]={["ENGLISH"] = ""; }; };</v>
      </c>
      <c r="O251" t="str">
        <f t="shared" si="31"/>
        <v/>
      </c>
      <c r="P251" t="str">
        <f t="shared" si="32"/>
        <v>[1]=1879339214;</v>
      </c>
      <c r="Q251" t="str">
        <f t="shared" si="33"/>
        <v/>
      </c>
      <c r="R251" t="str">
        <f t="shared" si="34"/>
        <v>[2]={["HARVESTMATH_FESTIVAL"]=24;};</v>
      </c>
      <c r="S251" t="str">
        <f t="shared" si="35"/>
        <v>["HARVESTMATH_FESTIVAL"]=24;</v>
      </c>
      <c r="T251" t="str">
        <f t="shared" si="36"/>
        <v/>
      </c>
    </row>
    <row r="252" spans="3:20" x14ac:dyDescent="0.25">
      <c r="C252" t="s">
        <v>204</v>
      </c>
      <c r="D252">
        <v>1879339207</v>
      </c>
      <c r="G252">
        <v>24</v>
      </c>
      <c r="L252" t="str">
        <f t="shared" si="28"/>
        <v>[251]={[2]={["HARVESTMATH_FESTIVAL"]=24;};[1]=1879339207;}; -- Sleeping Brown Cat</v>
      </c>
      <c r="M252" t="str">
        <f t="shared" si="29"/>
        <v>[251]={[1]="DIVIDER1"; [2]={["ENGLISH"] = ""; }; };</v>
      </c>
      <c r="N252" t="str">
        <f t="shared" si="30"/>
        <v>[251]={[1]="DIVIDER2"; [2]={["ENGLISH"] = ""; }; };</v>
      </c>
      <c r="O252" t="str">
        <f t="shared" si="31"/>
        <v/>
      </c>
      <c r="P252" t="str">
        <f t="shared" si="32"/>
        <v>[1]=1879339207;</v>
      </c>
      <c r="Q252" t="str">
        <f t="shared" si="33"/>
        <v/>
      </c>
      <c r="R252" t="str">
        <f t="shared" si="34"/>
        <v>[2]={["HARVESTMATH_FESTIVAL"]=24;};</v>
      </c>
      <c r="S252" t="str">
        <f t="shared" si="35"/>
        <v>["HARVESTMATH_FESTIVAL"]=24;</v>
      </c>
      <c r="T252" t="str">
        <f t="shared" si="36"/>
        <v/>
      </c>
    </row>
    <row r="253" spans="3:20" x14ac:dyDescent="0.25">
      <c r="C253" t="s">
        <v>205</v>
      </c>
      <c r="D253">
        <v>1879255491</v>
      </c>
      <c r="G253">
        <v>18</v>
      </c>
      <c r="L253" t="str">
        <f t="shared" si="28"/>
        <v>[252]={[2]={["HARVESTMATH_FESTIVAL"]=18;};[1]=1879255491;}; -- Láthbear with Stein</v>
      </c>
      <c r="M253" t="str">
        <f t="shared" si="29"/>
        <v>[252]={[1]="DIVIDER1"; [2]={["ENGLISH"] = ""; }; };</v>
      </c>
      <c r="N253" t="str">
        <f t="shared" si="30"/>
        <v>[252]={[1]="DIVIDER2"; [2]={["ENGLISH"] = ""; }; };</v>
      </c>
      <c r="O253" t="str">
        <f t="shared" si="31"/>
        <v/>
      </c>
      <c r="P253" t="str">
        <f t="shared" si="32"/>
        <v>[1]=1879255491;</v>
      </c>
      <c r="Q253" t="str">
        <f t="shared" si="33"/>
        <v/>
      </c>
      <c r="R253" t="str">
        <f t="shared" si="34"/>
        <v>[2]={["HARVESTMATH_FESTIVAL"]=18;};</v>
      </c>
      <c r="S253" t="str">
        <f t="shared" si="35"/>
        <v>["HARVESTMATH_FESTIVAL"]=18;</v>
      </c>
      <c r="T253" t="str">
        <f t="shared" si="36"/>
        <v/>
      </c>
    </row>
    <row r="254" spans="3:20" x14ac:dyDescent="0.25">
      <c r="C254" t="s">
        <v>206</v>
      </c>
      <c r="D254">
        <v>1879255493</v>
      </c>
      <c r="G254">
        <v>18</v>
      </c>
      <c r="L254" t="str">
        <f t="shared" si="28"/>
        <v>[253]={[2]={["HARVESTMATH_FESTIVAL"]=18;};[1]=1879255493;}; -- Craban Perched on Stein</v>
      </c>
      <c r="M254" t="str">
        <f t="shared" si="29"/>
        <v>[253]={[1]="DIVIDER1"; [2]={["ENGLISH"] = ""; }; };</v>
      </c>
      <c r="N254" t="str">
        <f t="shared" si="30"/>
        <v>[253]={[1]="DIVIDER2"; [2]={["ENGLISH"] = ""; }; };</v>
      </c>
      <c r="O254" t="str">
        <f t="shared" si="31"/>
        <v/>
      </c>
      <c r="P254" t="str">
        <f t="shared" si="32"/>
        <v>[1]=1879255493;</v>
      </c>
      <c r="Q254" t="str">
        <f t="shared" si="33"/>
        <v/>
      </c>
      <c r="R254" t="str">
        <f t="shared" si="34"/>
        <v>[2]={["HARVESTMATH_FESTIVAL"]=18;};</v>
      </c>
      <c r="S254" t="str">
        <f t="shared" si="35"/>
        <v>["HARVESTMATH_FESTIVAL"]=18;</v>
      </c>
      <c r="T254" t="str">
        <f t="shared" si="36"/>
        <v/>
      </c>
    </row>
    <row r="255" spans="3:20" x14ac:dyDescent="0.25">
      <c r="C255" t="s">
        <v>207</v>
      </c>
      <c r="D255">
        <v>1879255489</v>
      </c>
      <c r="G255">
        <v>18</v>
      </c>
      <c r="L255" t="str">
        <f t="shared" si="28"/>
        <v>[254]={[2]={["HARVESTMATH_FESTIVAL"]=18;};[1]=1879255489;}; -- Craban Drinking from Stein</v>
      </c>
      <c r="M255" t="str">
        <f t="shared" si="29"/>
        <v>[254]={[1]="DIVIDER1"; [2]={["ENGLISH"] = ""; }; };</v>
      </c>
      <c r="N255" t="str">
        <f t="shared" si="30"/>
        <v>[254]={[1]="DIVIDER2"; [2]={["ENGLISH"] = ""; }; };</v>
      </c>
      <c r="O255" t="str">
        <f t="shared" si="31"/>
        <v/>
      </c>
      <c r="P255" t="str">
        <f t="shared" si="32"/>
        <v>[1]=1879255489;</v>
      </c>
      <c r="Q255" t="str">
        <f t="shared" si="33"/>
        <v/>
      </c>
      <c r="R255" t="str">
        <f t="shared" si="34"/>
        <v>[2]={["HARVESTMATH_FESTIVAL"]=18;};</v>
      </c>
      <c r="S255" t="str">
        <f t="shared" si="35"/>
        <v>["HARVESTMATH_FESTIVAL"]=18;</v>
      </c>
      <c r="T255" t="str">
        <f t="shared" si="36"/>
        <v/>
      </c>
    </row>
    <row r="256" spans="3:20" x14ac:dyDescent="0.25">
      <c r="C256" t="s">
        <v>208</v>
      </c>
      <c r="D256">
        <v>1879255490</v>
      </c>
      <c r="G256">
        <v>18</v>
      </c>
      <c r="L256" t="str">
        <f t="shared" si="28"/>
        <v>[255]={[2]={["HARVESTMATH_FESTIVAL"]=18;};[1]=1879255490;}; -- Table with Sausage and Pretzels</v>
      </c>
      <c r="M256" t="str">
        <f t="shared" si="29"/>
        <v>[255]={[1]="DIVIDER1"; [2]={["ENGLISH"] = ""; }; };</v>
      </c>
      <c r="N256" t="str">
        <f t="shared" si="30"/>
        <v>[255]={[1]="DIVIDER2"; [2]={["ENGLISH"] = ""; }; };</v>
      </c>
      <c r="O256" t="str">
        <f t="shared" si="31"/>
        <v/>
      </c>
      <c r="P256" t="str">
        <f t="shared" si="32"/>
        <v>[1]=1879255490;</v>
      </c>
      <c r="Q256" t="str">
        <f t="shared" si="33"/>
        <v/>
      </c>
      <c r="R256" t="str">
        <f t="shared" si="34"/>
        <v>[2]={["HARVESTMATH_FESTIVAL"]=18;};</v>
      </c>
      <c r="S256" t="str">
        <f t="shared" si="35"/>
        <v>["HARVESTMATH_FESTIVAL"]=18;</v>
      </c>
      <c r="T256" t="str">
        <f t="shared" si="36"/>
        <v/>
      </c>
    </row>
    <row r="257" spans="3:20" x14ac:dyDescent="0.25">
      <c r="C257" t="s">
        <v>209</v>
      </c>
      <c r="D257">
        <v>1879255492</v>
      </c>
      <c r="G257">
        <v>18</v>
      </c>
      <c r="L257" t="str">
        <f t="shared" si="28"/>
        <v>[256]={[2]={["HARVESTMATH_FESTIVAL"]=18;};[1]=1879255492;}; -- Autumnal Apple Tree</v>
      </c>
      <c r="M257" t="str">
        <f t="shared" si="29"/>
        <v>[256]={[1]="DIVIDER1"; [2]={["ENGLISH"] = ""; }; };</v>
      </c>
      <c r="N257" t="str">
        <f t="shared" si="30"/>
        <v>[256]={[1]="DIVIDER2"; [2]={["ENGLISH"] = ""; }; };</v>
      </c>
      <c r="O257" t="str">
        <f t="shared" si="31"/>
        <v/>
      </c>
      <c r="P257" t="str">
        <f t="shared" si="32"/>
        <v>[1]=1879255492;</v>
      </c>
      <c r="Q257" t="str">
        <f t="shared" si="33"/>
        <v/>
      </c>
      <c r="R257" t="str">
        <f t="shared" si="34"/>
        <v>[2]={["HARVESTMATH_FESTIVAL"]=18;};</v>
      </c>
      <c r="S257" t="str">
        <f t="shared" si="35"/>
        <v>["HARVESTMATH_FESTIVAL"]=18;</v>
      </c>
      <c r="T257" t="str">
        <f t="shared" si="36"/>
        <v/>
      </c>
    </row>
    <row r="258" spans="3:20" x14ac:dyDescent="0.25">
      <c r="C258" t="s">
        <v>210</v>
      </c>
      <c r="D258">
        <v>1879184533</v>
      </c>
      <c r="G258">
        <v>12</v>
      </c>
      <c r="L258" t="str">
        <f t="shared" si="28"/>
        <v>[257]={[2]={["HARVESTMATH_FESTIVAL"]=12;};[1]=1879184533;}; -- Haunted Tree</v>
      </c>
      <c r="M258" t="str">
        <f t="shared" si="29"/>
        <v>[257]={[1]="DIVIDER1"; [2]={["ENGLISH"] = ""; }; };</v>
      </c>
      <c r="N258" t="str">
        <f t="shared" si="30"/>
        <v>[257]={[1]="DIVIDER2"; [2]={["ENGLISH"] = ""; }; };</v>
      </c>
      <c r="O258" t="str">
        <f t="shared" si="31"/>
        <v/>
      </c>
      <c r="P258" t="str">
        <f t="shared" si="32"/>
        <v>[1]=1879184533;</v>
      </c>
      <c r="Q258" t="str">
        <f t="shared" si="33"/>
        <v/>
      </c>
      <c r="R258" t="str">
        <f t="shared" si="34"/>
        <v>[2]={["HARVESTMATH_FESTIVAL"]=12;};</v>
      </c>
      <c r="S258" t="str">
        <f t="shared" si="35"/>
        <v>["HARVESTMATH_FESTIVAL"]=12;</v>
      </c>
      <c r="T258" t="str">
        <f t="shared" si="36"/>
        <v/>
      </c>
    </row>
    <row r="259" spans="3:20" x14ac:dyDescent="0.25">
      <c r="C259" t="s">
        <v>211</v>
      </c>
      <c r="D259">
        <v>1879101977</v>
      </c>
      <c r="G259">
        <v>12</v>
      </c>
      <c r="L259" t="str">
        <f t="shared" ref="L259:L285" si="37">IF(
  NOT(ISBLANK(A259)),
  M259,
  IF(
    NOT(ISBLANK(B259)),
    N259,
    CONCATENATE("[",ROW()-1,"]={",Q259,R259,P259,"};"," -- ",C259)))</f>
        <v>[258]={[2]={["HARVESTMATH_FESTIVAL"]=12;};[1]=1879101977;}; -- Wooden Beaver Statue</v>
      </c>
      <c r="M259" t="str">
        <f t="shared" ref="M259:M285" si="38">CONCATENATE("[",ROW()-1,"]={[1]=""DIVIDER1""; [2]={[""ENGLISH""] = """,A259,"""; }; ",O259,"};")</f>
        <v>[258]={[1]="DIVIDER1"; [2]={["ENGLISH"] = ""; }; };</v>
      </c>
      <c r="N259" t="str">
        <f t="shared" ref="N259:N285" si="39">CONCATENATE("[",ROW()-1,"]={[1]=""DIVIDER2""; [2]={[""ENGLISH""] = """,B259,"""; }; ",O259,"};")</f>
        <v>[258]={[1]="DIVIDER2"; [2]={["ENGLISH"] = ""; }; };</v>
      </c>
      <c r="O259" t="str">
        <f t="shared" ref="O259:O285" si="40">IF(LEN(J259)&gt;0,CONCATENATE("[""DIVIDER_HEIGHT""] = ",J259,";"),"")</f>
        <v/>
      </c>
      <c r="P259" t="str">
        <f t="shared" ref="P259:P285" si="41">CONCATENATE("[1]=",D259,";")</f>
        <v>[1]=1879101977;</v>
      </c>
      <c r="Q259" t="str">
        <f t="shared" ref="Q259:Q285" si="42">IF(F259&gt;0,CONCATENATE("[3]=",F259,";"),"")</f>
        <v/>
      </c>
      <c r="R259" t="str">
        <f t="shared" ref="R259:R285" si="43">_xlfn.TEXTJOIN("",TRUE,"[2]={",S259:T259,"};")</f>
        <v>[2]={["HARVESTMATH_FESTIVAL"]=12;};</v>
      </c>
      <c r="S259" t="str">
        <f t="shared" ref="S259:S285" si="44">IF(G259&gt;0,CONCATENATE("[""",G$1,"""]=",G259,";"),"")</f>
        <v>["HARVESTMATH_FESTIVAL"]=12;</v>
      </c>
      <c r="T259" t="str">
        <f t="shared" ref="T259:T285" si="45">IF(H259&gt;0,CONCATENATE("[""",H$1,"""]=",H259,";"),"")</f>
        <v/>
      </c>
    </row>
    <row r="260" spans="3:20" x14ac:dyDescent="0.25">
      <c r="C260" t="s">
        <v>212</v>
      </c>
      <c r="D260">
        <v>1879101957</v>
      </c>
      <c r="G260">
        <v>12</v>
      </c>
      <c r="L260" t="str">
        <f t="shared" si="37"/>
        <v>[259]={[2]={["HARVESTMATH_FESTIVAL"]=12;};[1]=1879101957;}; -- Giant Pumpkin</v>
      </c>
      <c r="M260" t="str">
        <f t="shared" si="38"/>
        <v>[259]={[1]="DIVIDER1"; [2]={["ENGLISH"] = ""; }; };</v>
      </c>
      <c r="N260" t="str">
        <f t="shared" si="39"/>
        <v>[259]={[1]="DIVIDER2"; [2]={["ENGLISH"] = ""; }; };</v>
      </c>
      <c r="O260" t="str">
        <f t="shared" si="40"/>
        <v/>
      </c>
      <c r="P260" t="str">
        <f t="shared" si="41"/>
        <v>[1]=1879101957;</v>
      </c>
      <c r="Q260" t="str">
        <f t="shared" si="42"/>
        <v/>
      </c>
      <c r="R260" t="str">
        <f t="shared" si="43"/>
        <v>[2]={["HARVESTMATH_FESTIVAL"]=12;};</v>
      </c>
      <c r="S260" t="str">
        <f t="shared" si="44"/>
        <v>["HARVESTMATH_FESTIVAL"]=12;</v>
      </c>
      <c r="T260" t="str">
        <f t="shared" si="45"/>
        <v/>
      </c>
    </row>
    <row r="261" spans="3:20" x14ac:dyDescent="0.25">
      <c r="C261" t="s">
        <v>213</v>
      </c>
      <c r="D261">
        <v>1879101942</v>
      </c>
      <c r="G261">
        <v>12</v>
      </c>
      <c r="L261" t="str">
        <f t="shared" si="37"/>
        <v>[260]={[2]={["HARVESTMATH_FESTIVAL"]=12;};[1]=1879101942;}; -- Harvest Statue</v>
      </c>
      <c r="M261" t="str">
        <f t="shared" si="38"/>
        <v>[260]={[1]="DIVIDER1"; [2]={["ENGLISH"] = ""; }; };</v>
      </c>
      <c r="N261" t="str">
        <f t="shared" si="39"/>
        <v>[260]={[1]="DIVIDER2"; [2]={["ENGLISH"] = ""; }; };</v>
      </c>
      <c r="O261" t="str">
        <f t="shared" si="40"/>
        <v/>
      </c>
      <c r="P261" t="str">
        <f t="shared" si="41"/>
        <v>[1]=1879101942;</v>
      </c>
      <c r="Q261" t="str">
        <f t="shared" si="42"/>
        <v/>
      </c>
      <c r="R261" t="str">
        <f t="shared" si="43"/>
        <v>[2]={["HARVESTMATH_FESTIVAL"]=12;};</v>
      </c>
      <c r="S261" t="str">
        <f t="shared" si="44"/>
        <v>["HARVESTMATH_FESTIVAL"]=12;</v>
      </c>
      <c r="T261" t="str">
        <f t="shared" si="45"/>
        <v/>
      </c>
    </row>
    <row r="262" spans="3:20" x14ac:dyDescent="0.25">
      <c r="C262" t="s">
        <v>214</v>
      </c>
      <c r="D262">
        <v>1879101944</v>
      </c>
      <c r="G262">
        <v>12</v>
      </c>
      <c r="L262" t="str">
        <f t="shared" si="37"/>
        <v>[261]={[2]={["HARVESTMATH_FESTIVAL"]=12;};[1]=1879101944;}; -- Goblin Statue</v>
      </c>
      <c r="M262" t="str">
        <f t="shared" si="38"/>
        <v>[261]={[1]="DIVIDER1"; [2]={["ENGLISH"] = ""; }; };</v>
      </c>
      <c r="N262" t="str">
        <f t="shared" si="39"/>
        <v>[261]={[1]="DIVIDER2"; [2]={["ENGLISH"] = ""; }; };</v>
      </c>
      <c r="O262" t="str">
        <f t="shared" si="40"/>
        <v/>
      </c>
      <c r="P262" t="str">
        <f t="shared" si="41"/>
        <v>[1]=1879101944;</v>
      </c>
      <c r="Q262" t="str">
        <f t="shared" si="42"/>
        <v/>
      </c>
      <c r="R262" t="str">
        <f t="shared" si="43"/>
        <v>[2]={["HARVESTMATH_FESTIVAL"]=12;};</v>
      </c>
      <c r="S262" t="str">
        <f t="shared" si="44"/>
        <v>["HARVESTMATH_FESTIVAL"]=12;</v>
      </c>
      <c r="T262" t="str">
        <f t="shared" si="45"/>
        <v/>
      </c>
    </row>
    <row r="263" spans="3:20" x14ac:dyDescent="0.25">
      <c r="C263" t="s">
        <v>215</v>
      </c>
      <c r="D263">
        <v>1879101953</v>
      </c>
      <c r="G263">
        <v>8</v>
      </c>
      <c r="L263" t="str">
        <f t="shared" si="37"/>
        <v>[262]={[2]={["HARVESTMATH_FESTIVAL"]=8;};[1]=1879101953;}; -- Free Peoples' Flag</v>
      </c>
      <c r="M263" t="str">
        <f t="shared" si="38"/>
        <v>[262]={[1]="DIVIDER1"; [2]={["ENGLISH"] = ""; }; };</v>
      </c>
      <c r="N263" t="str">
        <f t="shared" si="39"/>
        <v>[262]={[1]="DIVIDER2"; [2]={["ENGLISH"] = ""; }; };</v>
      </c>
      <c r="O263" t="str">
        <f t="shared" si="40"/>
        <v/>
      </c>
      <c r="P263" t="str">
        <f t="shared" si="41"/>
        <v>[1]=1879101953;</v>
      </c>
      <c r="Q263" t="str">
        <f t="shared" si="42"/>
        <v/>
      </c>
      <c r="R263" t="str">
        <f t="shared" si="43"/>
        <v>[2]={["HARVESTMATH_FESTIVAL"]=8;};</v>
      </c>
      <c r="S263" t="str">
        <f t="shared" si="44"/>
        <v>["HARVESTMATH_FESTIVAL"]=8;</v>
      </c>
      <c r="T263" t="str">
        <f t="shared" si="45"/>
        <v/>
      </c>
    </row>
    <row r="264" spans="3:20" x14ac:dyDescent="0.25">
      <c r="C264" t="s">
        <v>189</v>
      </c>
      <c r="D264">
        <v>1879101927</v>
      </c>
      <c r="G264">
        <v>12</v>
      </c>
      <c r="L264" t="str">
        <f t="shared" si="37"/>
        <v>[263]={[2]={["HARVESTMATH_FESTIVAL"]=12;};[1]=1879101927;}; -- Scarecrow</v>
      </c>
      <c r="M264" t="str">
        <f t="shared" si="38"/>
        <v>[263]={[1]="DIVIDER1"; [2]={["ENGLISH"] = ""; }; };</v>
      </c>
      <c r="N264" t="str">
        <f t="shared" si="39"/>
        <v>[263]={[1]="DIVIDER2"; [2]={["ENGLISH"] = ""; }; };</v>
      </c>
      <c r="O264" t="str">
        <f t="shared" si="40"/>
        <v/>
      </c>
      <c r="P264" t="str">
        <f t="shared" si="41"/>
        <v>[1]=1879101927;</v>
      </c>
      <c r="Q264" t="str">
        <f t="shared" si="42"/>
        <v/>
      </c>
      <c r="R264" t="str">
        <f t="shared" si="43"/>
        <v>[2]={["HARVESTMATH_FESTIVAL"]=12;};</v>
      </c>
      <c r="S264" t="str">
        <f t="shared" si="44"/>
        <v>["HARVESTMATH_FESTIVAL"]=12;</v>
      </c>
      <c r="T264" t="str">
        <f t="shared" si="45"/>
        <v/>
      </c>
    </row>
    <row r="265" spans="3:20" x14ac:dyDescent="0.25">
      <c r="C265" t="s">
        <v>216</v>
      </c>
      <c r="D265">
        <v>1879101963</v>
      </c>
      <c r="G265">
        <v>12</v>
      </c>
      <c r="L265" t="str">
        <f t="shared" si="37"/>
        <v>[264]={[2]={["HARVESTMATH_FESTIVAL"]=12;};[1]=1879101963;}; -- Sundial</v>
      </c>
      <c r="M265" t="str">
        <f t="shared" si="38"/>
        <v>[264]={[1]="DIVIDER1"; [2]={["ENGLISH"] = ""; }; };</v>
      </c>
      <c r="N265" t="str">
        <f t="shared" si="39"/>
        <v>[264]={[1]="DIVIDER2"; [2]={["ENGLISH"] = ""; }; };</v>
      </c>
      <c r="O265" t="str">
        <f t="shared" si="40"/>
        <v/>
      </c>
      <c r="P265" t="str">
        <f t="shared" si="41"/>
        <v>[1]=1879101963;</v>
      </c>
      <c r="Q265" t="str">
        <f t="shared" si="42"/>
        <v/>
      </c>
      <c r="R265" t="str">
        <f t="shared" si="43"/>
        <v>[2]={["HARVESTMATH_FESTIVAL"]=12;};</v>
      </c>
      <c r="S265" t="str">
        <f t="shared" si="44"/>
        <v>["HARVESTMATH_FESTIVAL"]=12;</v>
      </c>
      <c r="T265" t="str">
        <f t="shared" si="45"/>
        <v/>
      </c>
    </row>
    <row r="266" spans="3:20" x14ac:dyDescent="0.25">
      <c r="C266" t="s">
        <v>217</v>
      </c>
      <c r="D266">
        <v>1879131125</v>
      </c>
      <c r="G266">
        <v>8</v>
      </c>
      <c r="L266" t="str">
        <f t="shared" si="37"/>
        <v>[265]={[2]={["HARVESTMATH_FESTIVAL"]=8;};[1]=1879131125;}; -- Autumn Welcome Mat</v>
      </c>
      <c r="M266" t="str">
        <f t="shared" si="38"/>
        <v>[265]={[1]="DIVIDER1"; [2]={["ENGLISH"] = ""; }; };</v>
      </c>
      <c r="N266" t="str">
        <f t="shared" si="39"/>
        <v>[265]={[1]="DIVIDER2"; [2]={["ENGLISH"] = ""; }; };</v>
      </c>
      <c r="O266" t="str">
        <f t="shared" si="40"/>
        <v/>
      </c>
      <c r="P266" t="str">
        <f t="shared" si="41"/>
        <v>[1]=1879131125;</v>
      </c>
      <c r="Q266" t="str">
        <f t="shared" si="42"/>
        <v/>
      </c>
      <c r="R266" t="str">
        <f t="shared" si="43"/>
        <v>[2]={["HARVESTMATH_FESTIVAL"]=8;};</v>
      </c>
      <c r="S266" t="str">
        <f t="shared" si="44"/>
        <v>["HARVESTMATH_FESTIVAL"]=8;</v>
      </c>
      <c r="T266" t="str">
        <f t="shared" si="45"/>
        <v/>
      </c>
    </row>
    <row r="267" spans="3:20" x14ac:dyDescent="0.25">
      <c r="C267" t="s">
        <v>218</v>
      </c>
      <c r="D267">
        <v>1879191235</v>
      </c>
      <c r="G267">
        <v>18</v>
      </c>
      <c r="L267" t="str">
        <f t="shared" si="37"/>
        <v>[266]={[2]={["HARVESTMATH_FESTIVAL"]=18;};[1]=1879191235;}; -- Painting of a Watchful Warg</v>
      </c>
      <c r="M267" t="str">
        <f t="shared" si="38"/>
        <v>[266]={[1]="DIVIDER1"; [2]={["ENGLISH"] = ""; }; };</v>
      </c>
      <c r="N267" t="str">
        <f t="shared" si="39"/>
        <v>[266]={[1]="DIVIDER2"; [2]={["ENGLISH"] = ""; }; };</v>
      </c>
      <c r="O267" t="str">
        <f t="shared" si="40"/>
        <v/>
      </c>
      <c r="P267" t="str">
        <f t="shared" si="41"/>
        <v>[1]=1879191235;</v>
      </c>
      <c r="Q267" t="str">
        <f t="shared" si="42"/>
        <v/>
      </c>
      <c r="R267" t="str">
        <f t="shared" si="43"/>
        <v>[2]={["HARVESTMATH_FESTIVAL"]=18;};</v>
      </c>
      <c r="S267" t="str">
        <f t="shared" si="44"/>
        <v>["HARVESTMATH_FESTIVAL"]=18;</v>
      </c>
      <c r="T267" t="str">
        <f t="shared" si="45"/>
        <v/>
      </c>
    </row>
    <row r="268" spans="3:20" x14ac:dyDescent="0.25">
      <c r="C268" t="s">
        <v>219</v>
      </c>
      <c r="D268">
        <v>1879191236</v>
      </c>
      <c r="G268">
        <v>18</v>
      </c>
      <c r="L268" t="str">
        <f t="shared" si="37"/>
        <v>[267]={[2]={["HARVESTMATH_FESTIVAL"]=18;};[1]=1879191236;}; -- Painting of a Watchful Goblin</v>
      </c>
      <c r="M268" t="str">
        <f t="shared" si="38"/>
        <v>[267]={[1]="DIVIDER1"; [2]={["ENGLISH"] = ""; }; };</v>
      </c>
      <c r="N268" t="str">
        <f t="shared" si="39"/>
        <v>[267]={[1]="DIVIDER2"; [2]={["ENGLISH"] = ""; }; };</v>
      </c>
      <c r="O268" t="str">
        <f t="shared" si="40"/>
        <v/>
      </c>
      <c r="P268" t="str">
        <f t="shared" si="41"/>
        <v>[1]=1879191236;</v>
      </c>
      <c r="Q268" t="str">
        <f t="shared" si="42"/>
        <v/>
      </c>
      <c r="R268" t="str">
        <f t="shared" si="43"/>
        <v>[2]={["HARVESTMATH_FESTIVAL"]=18;};</v>
      </c>
      <c r="S268" t="str">
        <f t="shared" si="44"/>
        <v>["HARVESTMATH_FESTIVAL"]=18;</v>
      </c>
      <c r="T268" t="str">
        <f t="shared" si="45"/>
        <v/>
      </c>
    </row>
    <row r="269" spans="3:20" x14ac:dyDescent="0.25">
      <c r="C269" t="s">
        <v>220</v>
      </c>
      <c r="D269">
        <v>1879205543</v>
      </c>
      <c r="G269">
        <v>12</v>
      </c>
      <c r="L269" t="str">
        <f t="shared" si="37"/>
        <v>[268]={[2]={["HARVESTMATH_FESTIVAL"]=12;};[1]=1879205543;}; -- Map of Rivendell</v>
      </c>
      <c r="M269" t="str">
        <f t="shared" si="38"/>
        <v>[268]={[1]="DIVIDER1"; [2]={["ENGLISH"] = ""; }; };</v>
      </c>
      <c r="N269" t="str">
        <f t="shared" si="39"/>
        <v>[268]={[1]="DIVIDER2"; [2]={["ENGLISH"] = ""; }; };</v>
      </c>
      <c r="O269" t="str">
        <f t="shared" si="40"/>
        <v/>
      </c>
      <c r="P269" t="str">
        <f t="shared" si="41"/>
        <v>[1]=1879205543;</v>
      </c>
      <c r="Q269" t="str">
        <f t="shared" si="42"/>
        <v/>
      </c>
      <c r="R269" t="str">
        <f t="shared" si="43"/>
        <v>[2]={["HARVESTMATH_FESTIVAL"]=12;};</v>
      </c>
      <c r="S269" t="str">
        <f t="shared" si="44"/>
        <v>["HARVESTMATH_FESTIVAL"]=12;</v>
      </c>
      <c r="T269" t="str">
        <f t="shared" si="45"/>
        <v/>
      </c>
    </row>
    <row r="270" spans="3:20" x14ac:dyDescent="0.25">
      <c r="C270" t="s">
        <v>221</v>
      </c>
      <c r="D270">
        <v>1879112727</v>
      </c>
      <c r="G270">
        <v>12</v>
      </c>
      <c r="L270" t="str">
        <f t="shared" si="37"/>
        <v>[269]={[2]={["HARVESTMATH_FESTIVAL"]=12;};[1]=1879112727;}; -- Map of Eregion</v>
      </c>
      <c r="M270" t="str">
        <f t="shared" si="38"/>
        <v>[269]={[1]="DIVIDER1"; [2]={["ENGLISH"] = ""; }; };</v>
      </c>
      <c r="N270" t="str">
        <f t="shared" si="39"/>
        <v>[269]={[1]="DIVIDER2"; [2]={["ENGLISH"] = ""; }; };</v>
      </c>
      <c r="O270" t="str">
        <f t="shared" si="40"/>
        <v/>
      </c>
      <c r="P270" t="str">
        <f t="shared" si="41"/>
        <v>[1]=1879112727;</v>
      </c>
      <c r="Q270" t="str">
        <f t="shared" si="42"/>
        <v/>
      </c>
      <c r="R270" t="str">
        <f t="shared" si="43"/>
        <v>[2]={["HARVESTMATH_FESTIVAL"]=12;};</v>
      </c>
      <c r="S270" t="str">
        <f t="shared" si="44"/>
        <v>["HARVESTMATH_FESTIVAL"]=12;</v>
      </c>
      <c r="T270" t="str">
        <f t="shared" si="45"/>
        <v/>
      </c>
    </row>
    <row r="271" spans="3:20" x14ac:dyDescent="0.25">
      <c r="C271" t="s">
        <v>222</v>
      </c>
      <c r="D271">
        <v>1879205553</v>
      </c>
      <c r="G271">
        <v>12</v>
      </c>
      <c r="L271" t="str">
        <f t="shared" si="37"/>
        <v>[270]={[2]={["HARVESTMATH_FESTIVAL"]=12;};[1]=1879205553;}; -- Map of Enedwaith</v>
      </c>
      <c r="M271" t="str">
        <f t="shared" si="38"/>
        <v>[270]={[1]="DIVIDER1"; [2]={["ENGLISH"] = ""; }; };</v>
      </c>
      <c r="N271" t="str">
        <f t="shared" si="39"/>
        <v>[270]={[1]="DIVIDER2"; [2]={["ENGLISH"] = ""; }; };</v>
      </c>
      <c r="O271" t="str">
        <f t="shared" si="40"/>
        <v/>
      </c>
      <c r="P271" t="str">
        <f t="shared" si="41"/>
        <v>[1]=1879205553;</v>
      </c>
      <c r="Q271" t="str">
        <f t="shared" si="42"/>
        <v/>
      </c>
      <c r="R271" t="str">
        <f t="shared" si="43"/>
        <v>[2]={["HARVESTMATH_FESTIVAL"]=12;};</v>
      </c>
      <c r="S271" t="str">
        <f t="shared" si="44"/>
        <v>["HARVESTMATH_FESTIVAL"]=12;</v>
      </c>
      <c r="T271" t="str">
        <f t="shared" si="45"/>
        <v/>
      </c>
    </row>
    <row r="272" spans="3:20" x14ac:dyDescent="0.25">
      <c r="C272" t="s">
        <v>223</v>
      </c>
      <c r="D272">
        <v>1879205559</v>
      </c>
      <c r="G272">
        <v>12</v>
      </c>
      <c r="L272" t="str">
        <f t="shared" si="37"/>
        <v>[271]={[2]={["HARVESTMATH_FESTIVAL"]=12;};[1]=1879205559;}; -- Map of Mirkwood</v>
      </c>
      <c r="M272" t="str">
        <f t="shared" si="38"/>
        <v>[271]={[1]="DIVIDER1"; [2]={["ENGLISH"] = ""; }; };</v>
      </c>
      <c r="N272" t="str">
        <f t="shared" si="39"/>
        <v>[271]={[1]="DIVIDER2"; [2]={["ENGLISH"] = ""; }; };</v>
      </c>
      <c r="O272" t="str">
        <f t="shared" si="40"/>
        <v/>
      </c>
      <c r="P272" t="str">
        <f t="shared" si="41"/>
        <v>[1]=1879205559;</v>
      </c>
      <c r="Q272" t="str">
        <f t="shared" si="42"/>
        <v/>
      </c>
      <c r="R272" t="str">
        <f t="shared" si="43"/>
        <v>[2]={["HARVESTMATH_FESTIVAL"]=12;};</v>
      </c>
      <c r="S272" t="str">
        <f t="shared" si="44"/>
        <v>["HARVESTMATH_FESTIVAL"]=12;</v>
      </c>
      <c r="T272" t="str">
        <f t="shared" si="45"/>
        <v/>
      </c>
    </row>
    <row r="273" spans="1:20" x14ac:dyDescent="0.25">
      <c r="B273" t="s">
        <v>224</v>
      </c>
      <c r="L273" t="str">
        <f t="shared" si="37"/>
        <v>[272]={[1]="DIVIDER2"; [2]={["ENGLISH"] = "Consumables"; }; };</v>
      </c>
      <c r="M273" t="str">
        <f t="shared" si="38"/>
        <v>[272]={[1]="DIVIDER1"; [2]={["ENGLISH"] = ""; }; };</v>
      </c>
      <c r="N273" t="str">
        <f t="shared" si="39"/>
        <v>[272]={[1]="DIVIDER2"; [2]={["ENGLISH"] = "Consumables"; }; };</v>
      </c>
      <c r="O273" t="str">
        <f t="shared" si="40"/>
        <v/>
      </c>
      <c r="P273" t="str">
        <f t="shared" si="41"/>
        <v>[1]=;</v>
      </c>
      <c r="Q273" t="str">
        <f t="shared" si="42"/>
        <v/>
      </c>
      <c r="R273" t="str">
        <f t="shared" si="43"/>
        <v>[2]={};</v>
      </c>
      <c r="S273" t="str">
        <f t="shared" si="44"/>
        <v/>
      </c>
      <c r="T273" t="str">
        <f t="shared" si="45"/>
        <v/>
      </c>
    </row>
    <row r="274" spans="1:20" x14ac:dyDescent="0.25">
      <c r="C274" t="s">
        <v>225</v>
      </c>
      <c r="D274">
        <v>1879161463</v>
      </c>
      <c r="F274">
        <v>5</v>
      </c>
      <c r="G274">
        <v>3</v>
      </c>
      <c r="L274" t="str">
        <f t="shared" si="37"/>
        <v>[273]={[3]=5;[2]={["HARVESTMATH_FESTIVAL"]=3;};[1]=1879161463;}; -- 5 Specimen Jars: Gross Bugs</v>
      </c>
      <c r="M274" t="str">
        <f t="shared" si="38"/>
        <v>[273]={[1]="DIVIDER1"; [2]={["ENGLISH"] = ""; }; };</v>
      </c>
      <c r="N274" t="str">
        <f t="shared" si="39"/>
        <v>[273]={[1]="DIVIDER2"; [2]={["ENGLISH"] = ""; }; };</v>
      </c>
      <c r="O274" t="str">
        <f t="shared" si="40"/>
        <v/>
      </c>
      <c r="P274" t="str">
        <f t="shared" si="41"/>
        <v>[1]=1879161463;</v>
      </c>
      <c r="Q274" t="str">
        <f t="shared" si="42"/>
        <v>[3]=5;</v>
      </c>
      <c r="R274" t="str">
        <f t="shared" si="43"/>
        <v>[2]={["HARVESTMATH_FESTIVAL"]=3;};</v>
      </c>
      <c r="S274" t="str">
        <f t="shared" si="44"/>
        <v>["HARVESTMATH_FESTIVAL"]=3;</v>
      </c>
      <c r="T274" t="str">
        <f t="shared" si="45"/>
        <v/>
      </c>
    </row>
    <row r="275" spans="1:20" x14ac:dyDescent="0.25">
      <c r="C275" t="s">
        <v>226</v>
      </c>
      <c r="D275">
        <v>1879161496</v>
      </c>
      <c r="F275">
        <v>5</v>
      </c>
      <c r="G275">
        <v>3</v>
      </c>
      <c r="L275" t="str">
        <f t="shared" si="37"/>
        <v>[274]={[3]=5;[2]={["HARVESTMATH_FESTIVAL"]=3;};[1]=1879161496;}; -- 5 Applications of 'Coveritol'</v>
      </c>
      <c r="M275" t="str">
        <f t="shared" si="38"/>
        <v>[274]={[1]="DIVIDER1"; [2]={["ENGLISH"] = ""; }; };</v>
      </c>
      <c r="N275" t="str">
        <f t="shared" si="39"/>
        <v>[274]={[1]="DIVIDER2"; [2]={["ENGLISH"] = ""; }; };</v>
      </c>
      <c r="O275" t="str">
        <f t="shared" si="40"/>
        <v/>
      </c>
      <c r="P275" t="str">
        <f t="shared" si="41"/>
        <v>[1]=1879161496;</v>
      </c>
      <c r="Q275" t="str">
        <f t="shared" si="42"/>
        <v>[3]=5;</v>
      </c>
      <c r="R275" t="str">
        <f t="shared" si="43"/>
        <v>[2]={["HARVESTMATH_FESTIVAL"]=3;};</v>
      </c>
      <c r="S275" t="str">
        <f t="shared" si="44"/>
        <v>["HARVESTMATH_FESTIVAL"]=3;</v>
      </c>
      <c r="T275" t="str">
        <f t="shared" si="45"/>
        <v/>
      </c>
    </row>
    <row r="276" spans="1:20" x14ac:dyDescent="0.25">
      <c r="C276" t="s">
        <v>227</v>
      </c>
      <c r="D276">
        <v>1879161620</v>
      </c>
      <c r="F276">
        <v>5</v>
      </c>
      <c r="G276">
        <v>3</v>
      </c>
      <c r="L276" t="str">
        <f t="shared" si="37"/>
        <v>[275]={[3]=5;[2]={["HARVESTMATH_FESTIVAL"]=3;};[1]=1879161620;}; -- 5 Buckets of Fear</v>
      </c>
      <c r="M276" t="str">
        <f t="shared" si="38"/>
        <v>[275]={[1]="DIVIDER1"; [2]={["ENGLISH"] = ""; }; };</v>
      </c>
      <c r="N276" t="str">
        <f t="shared" si="39"/>
        <v>[275]={[1]="DIVIDER2"; [2]={["ENGLISH"] = ""; }; };</v>
      </c>
      <c r="O276" t="str">
        <f t="shared" si="40"/>
        <v/>
      </c>
      <c r="P276" t="str">
        <f t="shared" si="41"/>
        <v>[1]=1879161620;</v>
      </c>
      <c r="Q276" t="str">
        <f t="shared" si="42"/>
        <v>[3]=5;</v>
      </c>
      <c r="R276" t="str">
        <f t="shared" si="43"/>
        <v>[2]={["HARVESTMATH_FESTIVAL"]=3;};</v>
      </c>
      <c r="S276" t="str">
        <f t="shared" si="44"/>
        <v>["HARVESTMATH_FESTIVAL"]=3;</v>
      </c>
      <c r="T276" t="str">
        <f t="shared" si="45"/>
        <v/>
      </c>
    </row>
    <row r="277" spans="1:20" x14ac:dyDescent="0.25">
      <c r="C277" t="s">
        <v>228</v>
      </c>
      <c r="D277">
        <v>1879161710</v>
      </c>
      <c r="F277">
        <v>5</v>
      </c>
      <c r="G277">
        <v>3</v>
      </c>
      <c r="L277" t="str">
        <f t="shared" si="37"/>
        <v>[276]={[3]=5;[2]={["HARVESTMATH_FESTIVAL"]=3;};[1]=1879161710;}; -- 5 Potent Bird Seed</v>
      </c>
      <c r="M277" t="str">
        <f t="shared" si="38"/>
        <v>[276]={[1]="DIVIDER1"; [2]={["ENGLISH"] = ""; }; };</v>
      </c>
      <c r="N277" t="str">
        <f t="shared" si="39"/>
        <v>[276]={[1]="DIVIDER2"; [2]={["ENGLISH"] = ""; }; };</v>
      </c>
      <c r="O277" t="str">
        <f t="shared" si="40"/>
        <v/>
      </c>
      <c r="P277" t="str">
        <f t="shared" si="41"/>
        <v>[1]=1879161710;</v>
      </c>
      <c r="Q277" t="str">
        <f t="shared" si="42"/>
        <v>[3]=5;</v>
      </c>
      <c r="R277" t="str">
        <f t="shared" si="43"/>
        <v>[2]={["HARVESTMATH_FESTIVAL"]=3;};</v>
      </c>
      <c r="S277" t="str">
        <f t="shared" si="44"/>
        <v>["HARVESTMATH_FESTIVAL"]=3;</v>
      </c>
      <c r="T277" t="str">
        <f t="shared" si="45"/>
        <v/>
      </c>
    </row>
    <row r="278" spans="1:20" x14ac:dyDescent="0.25">
      <c r="C278" t="s">
        <v>229</v>
      </c>
      <c r="D278">
        <v>1879161765</v>
      </c>
      <c r="F278">
        <v>5</v>
      </c>
      <c r="G278">
        <v>3</v>
      </c>
      <c r="L278" t="str">
        <f t="shared" si="37"/>
        <v>[277]={[3]=5;[2]={["HARVESTMATH_FESTIVAL"]=3;};[1]=1879161765;}; -- 5 Candles and Mirrors</v>
      </c>
      <c r="M278" t="str">
        <f t="shared" si="38"/>
        <v>[277]={[1]="DIVIDER1"; [2]={["ENGLISH"] = ""; }; };</v>
      </c>
      <c r="N278" t="str">
        <f t="shared" si="39"/>
        <v>[277]={[1]="DIVIDER2"; [2]={["ENGLISH"] = ""; }; };</v>
      </c>
      <c r="O278" t="str">
        <f t="shared" si="40"/>
        <v/>
      </c>
      <c r="P278" t="str">
        <f t="shared" si="41"/>
        <v>[1]=1879161765;</v>
      </c>
      <c r="Q278" t="str">
        <f t="shared" si="42"/>
        <v>[3]=5;</v>
      </c>
      <c r="R278" t="str">
        <f t="shared" si="43"/>
        <v>[2]={["HARVESTMATH_FESTIVAL"]=3;};</v>
      </c>
      <c r="S278" t="str">
        <f t="shared" si="44"/>
        <v>["HARVESTMATH_FESTIVAL"]=3;</v>
      </c>
      <c r="T278" t="str">
        <f t="shared" si="45"/>
        <v/>
      </c>
    </row>
    <row r="279" spans="1:20" x14ac:dyDescent="0.25">
      <c r="C279" t="s">
        <v>230</v>
      </c>
      <c r="D279">
        <v>1879161781</v>
      </c>
      <c r="F279">
        <v>5</v>
      </c>
      <c r="G279">
        <v>3</v>
      </c>
      <c r="L279" t="str">
        <f t="shared" si="37"/>
        <v>[278]={[3]=5;[2]={["HARVESTMATH_FESTIVAL"]=3;};[1]=1879161781;}; -- 5 Black Silk Gloves</v>
      </c>
      <c r="M279" t="str">
        <f t="shared" si="38"/>
        <v>[278]={[1]="DIVIDER1"; [2]={["ENGLISH"] = ""; }; };</v>
      </c>
      <c r="N279" t="str">
        <f t="shared" si="39"/>
        <v>[278]={[1]="DIVIDER2"; [2]={["ENGLISH"] = ""; }; };</v>
      </c>
      <c r="O279" t="str">
        <f t="shared" si="40"/>
        <v/>
      </c>
      <c r="P279" t="str">
        <f t="shared" si="41"/>
        <v>[1]=1879161781;</v>
      </c>
      <c r="Q279" t="str">
        <f t="shared" si="42"/>
        <v>[3]=5;</v>
      </c>
      <c r="R279" t="str">
        <f t="shared" si="43"/>
        <v>[2]={["HARVESTMATH_FESTIVAL"]=3;};</v>
      </c>
      <c r="S279" t="str">
        <f t="shared" si="44"/>
        <v>["HARVESTMATH_FESTIVAL"]=3;</v>
      </c>
      <c r="T279" t="str">
        <f t="shared" si="45"/>
        <v/>
      </c>
    </row>
    <row r="280" spans="1:20" x14ac:dyDescent="0.25">
      <c r="C280" t="s">
        <v>231</v>
      </c>
      <c r="D280">
        <v>1879161779</v>
      </c>
      <c r="F280">
        <v>5</v>
      </c>
      <c r="G280">
        <v>3</v>
      </c>
      <c r="L280" t="str">
        <f t="shared" si="37"/>
        <v>[279]={[3]=5;[2]={["HARVESTMATH_FESTIVAL"]=3;};[1]=1879161779;}; -- 5 Spider Legs</v>
      </c>
      <c r="M280" t="str">
        <f t="shared" si="38"/>
        <v>[279]={[1]="DIVIDER1"; [2]={["ENGLISH"] = ""; }; };</v>
      </c>
      <c r="N280" t="str">
        <f t="shared" si="39"/>
        <v>[279]={[1]="DIVIDER2"; [2]={["ENGLISH"] = ""; }; };</v>
      </c>
      <c r="O280" t="str">
        <f t="shared" si="40"/>
        <v/>
      </c>
      <c r="P280" t="str">
        <f t="shared" si="41"/>
        <v>[1]=1879161779;</v>
      </c>
      <c r="Q280" t="str">
        <f t="shared" si="42"/>
        <v>[3]=5;</v>
      </c>
      <c r="R280" t="str">
        <f t="shared" si="43"/>
        <v>[2]={["HARVESTMATH_FESTIVAL"]=3;};</v>
      </c>
      <c r="S280" t="str">
        <f t="shared" si="44"/>
        <v>["HARVESTMATH_FESTIVAL"]=3;</v>
      </c>
      <c r="T280" t="str">
        <f t="shared" si="45"/>
        <v/>
      </c>
    </row>
    <row r="281" spans="1:20" x14ac:dyDescent="0.25">
      <c r="B281" t="s">
        <v>232</v>
      </c>
      <c r="L281" t="str">
        <f t="shared" si="37"/>
        <v>[280]={[1]="DIVIDER2"; [2]={["ENGLISH"] = "Emotes"; }; };</v>
      </c>
      <c r="M281" t="str">
        <f t="shared" si="38"/>
        <v>[280]={[1]="DIVIDER1"; [2]={["ENGLISH"] = ""; }; };</v>
      </c>
      <c r="N281" t="str">
        <f t="shared" si="39"/>
        <v>[280]={[1]="DIVIDER2"; [2]={["ENGLISH"] = "Emotes"; }; };</v>
      </c>
      <c r="O281" t="str">
        <f t="shared" si="40"/>
        <v/>
      </c>
      <c r="P281" t="str">
        <f t="shared" si="41"/>
        <v>[1]=;</v>
      </c>
      <c r="Q281" t="str">
        <f t="shared" si="42"/>
        <v/>
      </c>
      <c r="R281" t="str">
        <f t="shared" si="43"/>
        <v>[2]={};</v>
      </c>
      <c r="S281" t="str">
        <f t="shared" si="44"/>
        <v/>
      </c>
      <c r="T281" t="str">
        <f t="shared" si="45"/>
        <v/>
      </c>
    </row>
    <row r="282" spans="1:20" x14ac:dyDescent="0.25">
      <c r="C282" t="s">
        <v>233</v>
      </c>
      <c r="D282">
        <v>1879190618</v>
      </c>
      <c r="G282">
        <v>12</v>
      </c>
      <c r="L282" t="str">
        <f t="shared" si="37"/>
        <v>[281]={[2]={["HARVESTMATH_FESTIVAL"]=12;};[1]=1879190618;}; -- BOO!</v>
      </c>
      <c r="M282" t="str">
        <f t="shared" si="38"/>
        <v>[281]={[1]="DIVIDER1"; [2]={["ENGLISH"] = ""; }; };</v>
      </c>
      <c r="N282" t="str">
        <f t="shared" si="39"/>
        <v>[281]={[1]="DIVIDER2"; [2]={["ENGLISH"] = ""; }; };</v>
      </c>
      <c r="O282" t="str">
        <f t="shared" si="40"/>
        <v/>
      </c>
      <c r="P282" t="str">
        <f t="shared" si="41"/>
        <v>[1]=1879190618;</v>
      </c>
      <c r="Q282" t="str">
        <f t="shared" si="42"/>
        <v/>
      </c>
      <c r="R282" t="str">
        <f t="shared" si="43"/>
        <v>[2]={["HARVESTMATH_FESTIVAL"]=12;};</v>
      </c>
      <c r="S282" t="str">
        <f t="shared" si="44"/>
        <v>["HARVESTMATH_FESTIVAL"]=12;</v>
      </c>
      <c r="T282" t="str">
        <f t="shared" si="45"/>
        <v/>
      </c>
    </row>
    <row r="283" spans="1:20" x14ac:dyDescent="0.25">
      <c r="B283" t="s">
        <v>234</v>
      </c>
      <c r="L283" t="str">
        <f t="shared" si="37"/>
        <v>[282]={[1]="DIVIDER2"; [2]={["ENGLISH"] = "Instruments"; }; };</v>
      </c>
      <c r="M283" t="str">
        <f t="shared" si="38"/>
        <v>[282]={[1]="DIVIDER1"; [2]={["ENGLISH"] = ""; }; };</v>
      </c>
      <c r="N283" t="str">
        <f t="shared" si="39"/>
        <v>[282]={[1]="DIVIDER2"; [2]={["ENGLISH"] = "Instruments"; }; };</v>
      </c>
      <c r="O283" t="str">
        <f t="shared" si="40"/>
        <v/>
      </c>
      <c r="P283" t="str">
        <f t="shared" si="41"/>
        <v>[1]=;</v>
      </c>
      <c r="Q283" t="str">
        <f t="shared" si="42"/>
        <v/>
      </c>
      <c r="R283" t="str">
        <f t="shared" si="43"/>
        <v>[2]={};</v>
      </c>
      <c r="S283" t="str">
        <f t="shared" si="44"/>
        <v/>
      </c>
      <c r="T283" t="str">
        <f t="shared" si="45"/>
        <v/>
      </c>
    </row>
    <row r="284" spans="1:20" x14ac:dyDescent="0.25">
      <c r="C284" t="s">
        <v>235</v>
      </c>
      <c r="D284">
        <v>1879097472</v>
      </c>
      <c r="G284">
        <v>4</v>
      </c>
      <c r="L284" t="str">
        <f t="shared" si="37"/>
        <v>[283]={[2]={["HARVESTMATH_FESTIVAL"]=4;};[1]=1879097472;}; -- Guide to the Cowbell</v>
      </c>
      <c r="M284" t="str">
        <f t="shared" si="38"/>
        <v>[283]={[1]="DIVIDER1"; [2]={["ENGLISH"] = ""; }; };</v>
      </c>
      <c r="N284" t="str">
        <f t="shared" si="39"/>
        <v>[283]={[1]="DIVIDER2"; [2]={["ENGLISH"] = ""; }; };</v>
      </c>
      <c r="O284" t="str">
        <f t="shared" si="40"/>
        <v/>
      </c>
      <c r="P284" t="str">
        <f t="shared" si="41"/>
        <v>[1]=1879097472;</v>
      </c>
      <c r="Q284" t="str">
        <f t="shared" si="42"/>
        <v/>
      </c>
      <c r="R284" t="str">
        <f t="shared" si="43"/>
        <v>[2]={["HARVESTMATH_FESTIVAL"]=4;};</v>
      </c>
      <c r="S284" t="str">
        <f t="shared" si="44"/>
        <v>["HARVESTMATH_FESTIVAL"]=4;</v>
      </c>
      <c r="T284" t="str">
        <f t="shared" si="45"/>
        <v/>
      </c>
    </row>
    <row r="285" spans="1:20" x14ac:dyDescent="0.25">
      <c r="C285" t="s">
        <v>236</v>
      </c>
      <c r="D285">
        <v>1879378382</v>
      </c>
      <c r="G285">
        <v>20</v>
      </c>
      <c r="L285" t="str">
        <f t="shared" ref="L285:L308" si="46">IF(
  NOT(ISBLANK(A285)),
  M285,
  IF(
    NOT(ISBLANK(B285)),
    N285,
    CONCATENATE("[",ROW()-1,"]={",Q285,R285,P285,"};"," -- ",C285)))</f>
        <v>[284]={[2]={["HARVESTMATH_FESTIVAL"]=20;};[1]=1879378382;}; -- Lonely Mountain Bassoon</v>
      </c>
      <c r="M285" t="str">
        <f t="shared" ref="M285:M308" si="47">CONCATENATE("[",ROW()-1,"]={[1]=""DIVIDER1""; [2]={[""ENGLISH""] = """,A285,"""; }; ",O285,"};")</f>
        <v>[284]={[1]="DIVIDER1"; [2]={["ENGLISH"] = ""; }; };</v>
      </c>
      <c r="N285" t="str">
        <f t="shared" ref="N285:N308" si="48">CONCATENATE("[",ROW()-1,"]={[1]=""DIVIDER2""; [2]={[""ENGLISH""] = """,B285,"""; }; ",O285,"};")</f>
        <v>[284]={[1]="DIVIDER2"; [2]={["ENGLISH"] = ""; }; };</v>
      </c>
      <c r="O285" t="str">
        <f t="shared" ref="O285:O308" si="49">IF(LEN(J285)&gt;0,CONCATENATE("[""DIVIDER_HEIGHT""] = ",J285,";"),"")</f>
        <v/>
      </c>
      <c r="P285" t="str">
        <f t="shared" ref="P285:P308" si="50">CONCATENATE("[1]=",D285,";")</f>
        <v>[1]=1879378382;</v>
      </c>
      <c r="Q285" t="str">
        <f t="shared" ref="Q285:Q308" si="51">IF(F285&gt;0,CONCATENATE("[3]=",F285,";"),"")</f>
        <v/>
      </c>
      <c r="R285" t="str">
        <f t="shared" ref="R285:R308" si="52">_xlfn.TEXTJOIN("",TRUE,"[2]={",S285:T285,"};")</f>
        <v>[2]={["HARVESTMATH_FESTIVAL"]=20;};</v>
      </c>
      <c r="S285" t="str">
        <f t="shared" ref="S285:S308" si="53">IF(G285&gt;0,CONCATENATE("[""",G$1,"""]=",G285,";"),"")</f>
        <v>["HARVESTMATH_FESTIVAL"]=20;</v>
      </c>
      <c r="T285" t="str">
        <f t="shared" ref="T285:T308" si="54">IF(H285&gt;0,CONCATENATE("[""",H$1,"""]=",H285,";"),"")</f>
        <v/>
      </c>
    </row>
    <row r="286" spans="1:20" x14ac:dyDescent="0.25">
      <c r="A286" t="s">
        <v>262</v>
      </c>
      <c r="L286" t="str">
        <f t="shared" si="46"/>
        <v>[285]={[1]="DIVIDER1"; [2]={["ENGLISH"] = "Mogo Bracegirdle, Costumer"; }; };</v>
      </c>
      <c r="M286" t="str">
        <f t="shared" si="47"/>
        <v>[285]={[1]="DIVIDER1"; [2]={["ENGLISH"] = "Mogo Bracegirdle, Costumer"; }; };</v>
      </c>
      <c r="N286" t="str">
        <f t="shared" si="48"/>
        <v>[285]={[1]="DIVIDER2"; [2]={["ENGLISH"] = ""; }; };</v>
      </c>
      <c r="O286" t="str">
        <f t="shared" si="49"/>
        <v/>
      </c>
      <c r="P286" t="str">
        <f t="shared" si="50"/>
        <v>[1]=;</v>
      </c>
      <c r="Q286" t="str">
        <f t="shared" si="51"/>
        <v/>
      </c>
      <c r="R286" t="str">
        <f t="shared" si="52"/>
        <v>[2]={};</v>
      </c>
      <c r="S286" t="str">
        <f t="shared" si="53"/>
        <v/>
      </c>
      <c r="T286" t="str">
        <f t="shared" si="54"/>
        <v/>
      </c>
    </row>
    <row r="287" spans="1:20" x14ac:dyDescent="0.25">
      <c r="B287" t="s">
        <v>263</v>
      </c>
      <c r="L287" t="str">
        <f t="shared" si="46"/>
        <v>[286]={[1]="DIVIDER2"; [2]={["ENGLISH"] = "Treats and Trickery"; }; };</v>
      </c>
      <c r="M287" t="str">
        <f t="shared" si="47"/>
        <v>[286]={[1]="DIVIDER1"; [2]={["ENGLISH"] = ""; }; };</v>
      </c>
      <c r="N287" t="str">
        <f t="shared" si="48"/>
        <v>[286]={[1]="DIVIDER2"; [2]={["ENGLISH"] = "Treats and Trickery"; }; };</v>
      </c>
      <c r="O287" t="str">
        <f t="shared" si="49"/>
        <v/>
      </c>
      <c r="P287" t="str">
        <f t="shared" si="50"/>
        <v>[1]=;</v>
      </c>
      <c r="Q287" t="str">
        <f t="shared" si="51"/>
        <v/>
      </c>
      <c r="R287" t="str">
        <f t="shared" si="52"/>
        <v>[2]={};</v>
      </c>
      <c r="S287" t="str">
        <f t="shared" si="53"/>
        <v/>
      </c>
      <c r="T287" t="str">
        <f t="shared" si="54"/>
        <v/>
      </c>
    </row>
    <row r="288" spans="1:20" x14ac:dyDescent="0.25">
      <c r="C288" t="s">
        <v>260</v>
      </c>
      <c r="D288">
        <v>1879520602</v>
      </c>
      <c r="H288">
        <v>75</v>
      </c>
      <c r="L288" t="str">
        <f t="shared" si="46"/>
        <v>[287]={[2]={["GENERIC_MITHRIL"]=75;};[1]=1879520602;}; -- Guise of Nakási Wave-reaper</v>
      </c>
      <c r="M288" t="str">
        <f t="shared" si="47"/>
        <v>[287]={[1]="DIVIDER1"; [2]={["ENGLISH"] = ""; }; };</v>
      </c>
      <c r="N288" t="str">
        <f t="shared" si="48"/>
        <v>[287]={[1]="DIVIDER2"; [2]={["ENGLISH"] = ""; }; };</v>
      </c>
      <c r="O288" t="str">
        <f t="shared" si="49"/>
        <v/>
      </c>
      <c r="P288" t="str">
        <f t="shared" si="50"/>
        <v>[1]=1879520602;</v>
      </c>
      <c r="Q288" t="str">
        <f t="shared" si="51"/>
        <v/>
      </c>
      <c r="R288" t="str">
        <f t="shared" si="52"/>
        <v>[2]={["GENERIC_MITHRIL"]=75;};</v>
      </c>
      <c r="S288" t="str">
        <f t="shared" si="53"/>
        <v/>
      </c>
      <c r="T288" t="str">
        <f t="shared" si="54"/>
        <v>["GENERIC_MITHRIL"]=75;</v>
      </c>
    </row>
    <row r="289" spans="3:20" x14ac:dyDescent="0.25">
      <c r="C289" t="s">
        <v>261</v>
      </c>
      <c r="D289">
        <v>1879520611</v>
      </c>
      <c r="H289">
        <v>75</v>
      </c>
      <c r="L289" t="str">
        <f t="shared" si="46"/>
        <v>[288]={[2]={["GENERIC_MITHRIL"]=75;};[1]=1879520611;}; -- Guise of Hármelak Golden-hand</v>
      </c>
      <c r="M289" t="str">
        <f t="shared" si="47"/>
        <v>[288]={[1]="DIVIDER1"; [2]={["ENGLISH"] = ""; }; };</v>
      </c>
      <c r="N289" t="str">
        <f t="shared" si="48"/>
        <v>[288]={[1]="DIVIDER2"; [2]={["ENGLISH"] = ""; }; };</v>
      </c>
      <c r="O289" t="str">
        <f t="shared" si="49"/>
        <v/>
      </c>
      <c r="P289" t="str">
        <f t="shared" si="50"/>
        <v>[1]=1879520611;</v>
      </c>
      <c r="Q289" t="str">
        <f t="shared" si="51"/>
        <v/>
      </c>
      <c r="R289" t="str">
        <f t="shared" si="52"/>
        <v>[2]={["GENERIC_MITHRIL"]=75;};</v>
      </c>
      <c r="S289" t="str">
        <f t="shared" si="53"/>
        <v/>
      </c>
      <c r="T289" t="str">
        <f t="shared" si="54"/>
        <v>["GENERIC_MITHRIL"]=75;</v>
      </c>
    </row>
    <row r="290" spans="3:20" x14ac:dyDescent="0.25">
      <c r="C290" t="s">
        <v>264</v>
      </c>
      <c r="D290">
        <v>1879494886</v>
      </c>
      <c r="H290">
        <v>50</v>
      </c>
      <c r="L290" t="str">
        <f t="shared" si="46"/>
        <v>[289]={[2]={["GENERIC_MITHRIL"]=50;};[1]=1879494886;}; -- Guise of Galadriel</v>
      </c>
      <c r="M290" t="str">
        <f t="shared" si="47"/>
        <v>[289]={[1]="DIVIDER1"; [2]={["ENGLISH"] = ""; }; };</v>
      </c>
      <c r="N290" t="str">
        <f t="shared" si="48"/>
        <v>[289]={[1]="DIVIDER2"; [2]={["ENGLISH"] = ""; }; };</v>
      </c>
      <c r="O290" t="str">
        <f t="shared" si="49"/>
        <v/>
      </c>
      <c r="P290" t="str">
        <f t="shared" si="50"/>
        <v>[1]=1879494886;</v>
      </c>
      <c r="Q290" t="str">
        <f t="shared" si="51"/>
        <v/>
      </c>
      <c r="R290" t="str">
        <f t="shared" si="52"/>
        <v>[2]={["GENERIC_MITHRIL"]=50;};</v>
      </c>
      <c r="S290" t="str">
        <f t="shared" si="53"/>
        <v/>
      </c>
      <c r="T290" t="str">
        <f t="shared" si="54"/>
        <v>["GENERIC_MITHRIL"]=50;</v>
      </c>
    </row>
    <row r="291" spans="3:20" x14ac:dyDescent="0.25">
      <c r="C291" t="s">
        <v>265</v>
      </c>
      <c r="D291">
        <v>1879494888</v>
      </c>
      <c r="H291">
        <v>100</v>
      </c>
      <c r="L291" t="str">
        <f t="shared" si="46"/>
        <v>[290]={[2]={["GENERIC_MITHRIL"]=100;};[1]=1879494888;}; -- Guise of Battle-ready Galadriel</v>
      </c>
      <c r="M291" t="str">
        <f t="shared" si="47"/>
        <v>[290]={[1]="DIVIDER1"; [2]={["ENGLISH"] = ""; }; };</v>
      </c>
      <c r="N291" t="str">
        <f t="shared" si="48"/>
        <v>[290]={[1]="DIVIDER2"; [2]={["ENGLISH"] = ""; }; };</v>
      </c>
      <c r="O291" t="str">
        <f t="shared" si="49"/>
        <v/>
      </c>
      <c r="P291" t="str">
        <f t="shared" si="50"/>
        <v>[1]=1879494888;</v>
      </c>
      <c r="Q291" t="str">
        <f t="shared" si="51"/>
        <v/>
      </c>
      <c r="R291" t="str">
        <f t="shared" si="52"/>
        <v>[2]={["GENERIC_MITHRIL"]=100;};</v>
      </c>
      <c r="S291" t="str">
        <f t="shared" si="53"/>
        <v/>
      </c>
      <c r="T291" t="str">
        <f t="shared" si="54"/>
        <v>["GENERIC_MITHRIL"]=100;</v>
      </c>
    </row>
    <row r="292" spans="3:20" x14ac:dyDescent="0.25">
      <c r="C292" t="s">
        <v>266</v>
      </c>
      <c r="D292">
        <v>1879494887</v>
      </c>
      <c r="H292">
        <v>75</v>
      </c>
      <c r="L292" t="str">
        <f t="shared" si="46"/>
        <v>[291]={[2]={["GENERIC_MITHRIL"]=75;};[1]=1879494887;}; -- Guise of a Goblin Corsair</v>
      </c>
      <c r="M292" t="str">
        <f t="shared" si="47"/>
        <v>[291]={[1]="DIVIDER1"; [2]={["ENGLISH"] = ""; }; };</v>
      </c>
      <c r="N292" t="str">
        <f t="shared" si="48"/>
        <v>[291]={[1]="DIVIDER2"; [2]={["ENGLISH"] = ""; }; };</v>
      </c>
      <c r="O292" t="str">
        <f t="shared" si="49"/>
        <v/>
      </c>
      <c r="P292" t="str">
        <f t="shared" si="50"/>
        <v>[1]=1879494887;</v>
      </c>
      <c r="Q292" t="str">
        <f t="shared" si="51"/>
        <v/>
      </c>
      <c r="R292" t="str">
        <f t="shared" si="52"/>
        <v>[2]={["GENERIC_MITHRIL"]=75;};</v>
      </c>
      <c r="S292" t="str">
        <f t="shared" si="53"/>
        <v/>
      </c>
      <c r="T292" t="str">
        <f t="shared" si="54"/>
        <v>["GENERIC_MITHRIL"]=75;</v>
      </c>
    </row>
    <row r="293" spans="3:20" x14ac:dyDescent="0.25">
      <c r="C293" t="s">
        <v>267</v>
      </c>
      <c r="D293">
        <v>1879412818</v>
      </c>
      <c r="H293">
        <v>50</v>
      </c>
      <c r="L293" t="str">
        <f t="shared" si="46"/>
        <v>[292]={[2]={["GENERIC_MITHRIL"]=50;};[1]=1879412818;}; -- Guise of Gandalf the Grey</v>
      </c>
      <c r="M293" t="str">
        <f t="shared" si="47"/>
        <v>[292]={[1]="DIVIDER1"; [2]={["ENGLISH"] = ""; }; };</v>
      </c>
      <c r="N293" t="str">
        <f t="shared" si="48"/>
        <v>[292]={[1]="DIVIDER2"; [2]={["ENGLISH"] = ""; }; };</v>
      </c>
      <c r="O293" t="str">
        <f t="shared" si="49"/>
        <v/>
      </c>
      <c r="P293" t="str">
        <f t="shared" si="50"/>
        <v>[1]=1879412818;</v>
      </c>
      <c r="Q293" t="str">
        <f t="shared" si="51"/>
        <v/>
      </c>
      <c r="R293" t="str">
        <f t="shared" si="52"/>
        <v>[2]={["GENERIC_MITHRIL"]=50;};</v>
      </c>
      <c r="S293" t="str">
        <f t="shared" si="53"/>
        <v/>
      </c>
      <c r="T293" t="str">
        <f t="shared" si="54"/>
        <v>["GENERIC_MITHRIL"]=50;</v>
      </c>
    </row>
    <row r="294" spans="3:20" x14ac:dyDescent="0.25">
      <c r="C294" t="s">
        <v>268</v>
      </c>
      <c r="D294">
        <v>1879412815</v>
      </c>
      <c r="H294">
        <v>75</v>
      </c>
      <c r="L294" t="str">
        <f t="shared" si="46"/>
        <v>[293]={[2]={["GENERIC_MITHRIL"]=75;};[1]=1879412815;}; -- Guise of Gandalf the White</v>
      </c>
      <c r="M294" t="str">
        <f t="shared" si="47"/>
        <v>[293]={[1]="DIVIDER1"; [2]={["ENGLISH"] = ""; }; };</v>
      </c>
      <c r="N294" t="str">
        <f t="shared" si="48"/>
        <v>[293]={[1]="DIVIDER2"; [2]={["ENGLISH"] = ""; }; };</v>
      </c>
      <c r="O294" t="str">
        <f t="shared" si="49"/>
        <v/>
      </c>
      <c r="P294" t="str">
        <f t="shared" si="50"/>
        <v>[1]=1879412815;</v>
      </c>
      <c r="Q294" t="str">
        <f t="shared" si="51"/>
        <v/>
      </c>
      <c r="R294" t="str">
        <f t="shared" si="52"/>
        <v>[2]={["GENERIC_MITHRIL"]=75;};</v>
      </c>
      <c r="S294" t="str">
        <f t="shared" si="53"/>
        <v/>
      </c>
      <c r="T294" t="str">
        <f t="shared" si="54"/>
        <v>["GENERIC_MITHRIL"]=75;</v>
      </c>
    </row>
    <row r="295" spans="3:20" x14ac:dyDescent="0.25">
      <c r="C295" t="s">
        <v>269</v>
      </c>
      <c r="D295">
        <v>1879412814</v>
      </c>
      <c r="H295">
        <v>50</v>
      </c>
      <c r="L295" t="str">
        <f t="shared" si="46"/>
        <v>[294]={[2]={["GENERIC_MITHRIL"]=50;};[1]=1879412814;}; -- Guise of Goldberry</v>
      </c>
      <c r="M295" t="str">
        <f t="shared" si="47"/>
        <v>[294]={[1]="DIVIDER1"; [2]={["ENGLISH"] = ""; }; };</v>
      </c>
      <c r="N295" t="str">
        <f t="shared" si="48"/>
        <v>[294]={[1]="DIVIDER2"; [2]={["ENGLISH"] = ""; }; };</v>
      </c>
      <c r="O295" t="str">
        <f t="shared" si="49"/>
        <v/>
      </c>
      <c r="P295" t="str">
        <f t="shared" si="50"/>
        <v>[1]=1879412814;</v>
      </c>
      <c r="Q295" t="str">
        <f t="shared" si="51"/>
        <v/>
      </c>
      <c r="R295" t="str">
        <f t="shared" si="52"/>
        <v>[2]={["GENERIC_MITHRIL"]=50;};</v>
      </c>
      <c r="S295" t="str">
        <f t="shared" si="53"/>
        <v/>
      </c>
      <c r="T295" t="str">
        <f t="shared" si="54"/>
        <v>["GENERIC_MITHRIL"]=50;</v>
      </c>
    </row>
    <row r="296" spans="3:20" x14ac:dyDescent="0.25">
      <c r="C296" t="s">
        <v>270</v>
      </c>
      <c r="D296">
        <v>1879412820</v>
      </c>
      <c r="H296">
        <v>125</v>
      </c>
      <c r="L296" t="str">
        <f t="shared" si="46"/>
        <v>[295]={[2]={["GENERIC_MITHRIL"]=125;};[1]=1879412820;}; -- Guise of Tom Bombadil</v>
      </c>
      <c r="M296" t="str">
        <f t="shared" si="47"/>
        <v>[295]={[1]="DIVIDER1"; [2]={["ENGLISH"] = ""; }; };</v>
      </c>
      <c r="N296" t="str">
        <f t="shared" si="48"/>
        <v>[295]={[1]="DIVIDER2"; [2]={["ENGLISH"] = ""; }; };</v>
      </c>
      <c r="O296" t="str">
        <f t="shared" si="49"/>
        <v/>
      </c>
      <c r="P296" t="str">
        <f t="shared" si="50"/>
        <v>[1]=1879412820;</v>
      </c>
      <c r="Q296" t="str">
        <f t="shared" si="51"/>
        <v/>
      </c>
      <c r="R296" t="str">
        <f t="shared" si="52"/>
        <v>[2]={["GENERIC_MITHRIL"]=125;};</v>
      </c>
      <c r="S296" t="str">
        <f t="shared" si="53"/>
        <v/>
      </c>
      <c r="T296" t="str">
        <f t="shared" si="54"/>
        <v>["GENERIC_MITHRIL"]=125;</v>
      </c>
    </row>
    <row r="297" spans="3:20" x14ac:dyDescent="0.25">
      <c r="C297" t="s">
        <v>271</v>
      </c>
      <c r="D297">
        <v>1879412821</v>
      </c>
      <c r="H297">
        <v>50</v>
      </c>
      <c r="L297" t="str">
        <f t="shared" si="46"/>
        <v>[296]={[2]={["GENERIC_MITHRIL"]=50;};[1]=1879412821;}; -- Guise of Durin VI</v>
      </c>
      <c r="M297" t="str">
        <f t="shared" si="47"/>
        <v>[296]={[1]="DIVIDER1"; [2]={["ENGLISH"] = ""; }; };</v>
      </c>
      <c r="N297" t="str">
        <f t="shared" si="48"/>
        <v>[296]={[1]="DIVIDER2"; [2]={["ENGLISH"] = ""; }; };</v>
      </c>
      <c r="O297" t="str">
        <f t="shared" si="49"/>
        <v/>
      </c>
      <c r="P297" t="str">
        <f t="shared" si="50"/>
        <v>[1]=1879412821;</v>
      </c>
      <c r="Q297" t="str">
        <f t="shared" si="51"/>
        <v/>
      </c>
      <c r="R297" t="str">
        <f t="shared" si="52"/>
        <v>[2]={["GENERIC_MITHRIL"]=50;};</v>
      </c>
      <c r="S297" t="str">
        <f t="shared" si="53"/>
        <v/>
      </c>
      <c r="T297" t="str">
        <f t="shared" si="54"/>
        <v>["GENERIC_MITHRIL"]=50;</v>
      </c>
    </row>
    <row r="298" spans="3:20" x14ac:dyDescent="0.25">
      <c r="C298" t="s">
        <v>272</v>
      </c>
      <c r="D298">
        <v>1879412817</v>
      </c>
      <c r="H298">
        <v>50</v>
      </c>
      <c r="L298" t="str">
        <f t="shared" si="46"/>
        <v>[297]={[2]={["GENERIC_MITHRIL"]=50;};[1]=1879412817;}; -- Guise of Karazgar</v>
      </c>
      <c r="M298" t="str">
        <f t="shared" si="47"/>
        <v>[297]={[1]="DIVIDER1"; [2]={["ENGLISH"] = ""; }; };</v>
      </c>
      <c r="N298" t="str">
        <f t="shared" si="48"/>
        <v>[297]={[1]="DIVIDER2"; [2]={["ENGLISH"] = ""; }; };</v>
      </c>
      <c r="O298" t="str">
        <f t="shared" si="49"/>
        <v/>
      </c>
      <c r="P298" t="str">
        <f t="shared" si="50"/>
        <v>[1]=1879412817;</v>
      </c>
      <c r="Q298" t="str">
        <f t="shared" si="51"/>
        <v/>
      </c>
      <c r="R298" t="str">
        <f t="shared" si="52"/>
        <v>[2]={["GENERIC_MITHRIL"]=50;};</v>
      </c>
      <c r="S298" t="str">
        <f t="shared" si="53"/>
        <v/>
      </c>
      <c r="T298" t="str">
        <f t="shared" si="54"/>
        <v>["GENERIC_MITHRIL"]=50;</v>
      </c>
    </row>
    <row r="299" spans="3:20" x14ac:dyDescent="0.25">
      <c r="C299" t="s">
        <v>273</v>
      </c>
      <c r="D299">
        <v>1879412819</v>
      </c>
      <c r="H299">
        <v>75</v>
      </c>
      <c r="L299" t="str">
        <f t="shared" si="46"/>
        <v>[298]={[2]={["GENERIC_MITHRIL"]=75;};[1]=1879412819;}; -- Guise of Saruman</v>
      </c>
      <c r="M299" t="str">
        <f t="shared" si="47"/>
        <v>[298]={[1]="DIVIDER1"; [2]={["ENGLISH"] = ""; }; };</v>
      </c>
      <c r="N299" t="str">
        <f t="shared" si="48"/>
        <v>[298]={[1]="DIVIDER2"; [2]={["ENGLISH"] = ""; }; };</v>
      </c>
      <c r="O299" t="str">
        <f t="shared" si="49"/>
        <v/>
      </c>
      <c r="P299" t="str">
        <f t="shared" si="50"/>
        <v>[1]=1879412819;</v>
      </c>
      <c r="Q299" t="str">
        <f t="shared" si="51"/>
        <v/>
      </c>
      <c r="R299" t="str">
        <f t="shared" si="52"/>
        <v>[2]={["GENERIC_MITHRIL"]=75;};</v>
      </c>
      <c r="S299" t="str">
        <f t="shared" si="53"/>
        <v/>
      </c>
      <c r="T299" t="str">
        <f t="shared" si="54"/>
        <v>["GENERIC_MITHRIL"]=75;</v>
      </c>
    </row>
    <row r="300" spans="3:20" x14ac:dyDescent="0.25">
      <c r="C300" t="s">
        <v>274</v>
      </c>
      <c r="D300">
        <v>1879412816</v>
      </c>
      <c r="H300">
        <v>75</v>
      </c>
      <c r="L300" t="str">
        <f t="shared" si="46"/>
        <v>[299]={[2]={["GENERIC_MITHRIL"]=75;};[1]=1879412816;}; -- Guise of Gollum</v>
      </c>
      <c r="M300" t="str">
        <f t="shared" si="47"/>
        <v>[299]={[1]="DIVIDER1"; [2]={["ENGLISH"] = ""; }; };</v>
      </c>
      <c r="N300" t="str">
        <f t="shared" si="48"/>
        <v>[299]={[1]="DIVIDER2"; [2]={["ENGLISH"] = ""; }; };</v>
      </c>
      <c r="O300" t="str">
        <f t="shared" si="49"/>
        <v/>
      </c>
      <c r="P300" t="str">
        <f t="shared" si="50"/>
        <v>[1]=1879412816;</v>
      </c>
      <c r="Q300" t="str">
        <f t="shared" si="51"/>
        <v/>
      </c>
      <c r="R300" t="str">
        <f t="shared" si="52"/>
        <v>[2]={["GENERIC_MITHRIL"]=75;};</v>
      </c>
      <c r="S300" t="str">
        <f t="shared" si="53"/>
        <v/>
      </c>
      <c r="T300" t="str">
        <f t="shared" si="54"/>
        <v>["GENERIC_MITHRIL"]=75;</v>
      </c>
    </row>
    <row r="301" spans="3:20" x14ac:dyDescent="0.25">
      <c r="C301" t="s">
        <v>275</v>
      </c>
      <c r="D301">
        <v>1879381655</v>
      </c>
      <c r="F301">
        <v>3</v>
      </c>
      <c r="G301">
        <v>1</v>
      </c>
      <c r="L301" t="str">
        <f t="shared" si="46"/>
        <v>[300]={[3]=3;[2]={["HARVESTMATH_FESTIVAL"]=1;};[1]=1879381655;}; -- Basic Costume Grab-bag</v>
      </c>
      <c r="M301" t="str">
        <f t="shared" si="47"/>
        <v>[300]={[1]="DIVIDER1"; [2]={["ENGLISH"] = ""; }; };</v>
      </c>
      <c r="N301" t="str">
        <f t="shared" si="48"/>
        <v>[300]={[1]="DIVIDER2"; [2]={["ENGLISH"] = ""; }; };</v>
      </c>
      <c r="O301" t="str">
        <f t="shared" si="49"/>
        <v/>
      </c>
      <c r="P301" t="str">
        <f t="shared" si="50"/>
        <v>[1]=1879381655;</v>
      </c>
      <c r="Q301" t="str">
        <f t="shared" si="51"/>
        <v>[3]=3;</v>
      </c>
      <c r="R301" t="str">
        <f t="shared" si="52"/>
        <v>[2]={["HARVESTMATH_FESTIVAL"]=1;};</v>
      </c>
      <c r="S301" t="str">
        <f t="shared" si="53"/>
        <v>["HARVESTMATH_FESTIVAL"]=1;</v>
      </c>
      <c r="T301" t="str">
        <f t="shared" si="54"/>
        <v/>
      </c>
    </row>
    <row r="302" spans="3:20" x14ac:dyDescent="0.25">
      <c r="C302" t="s">
        <v>276</v>
      </c>
      <c r="D302">
        <v>1879381731</v>
      </c>
      <c r="G302">
        <v>24</v>
      </c>
      <c r="L302" t="str">
        <f t="shared" si="46"/>
        <v>[301]={[2]={["HARVESTMATH_FESTIVAL"]=24;};[1]=1879381731;}; -- Doormat in a Box</v>
      </c>
      <c r="M302" t="str">
        <f t="shared" si="47"/>
        <v>[301]={[1]="DIVIDER1"; [2]={["ENGLISH"] = ""; }; };</v>
      </c>
      <c r="N302" t="str">
        <f t="shared" si="48"/>
        <v>[301]={[1]="DIVIDER2"; [2]={["ENGLISH"] = ""; }; };</v>
      </c>
      <c r="O302" t="str">
        <f t="shared" si="49"/>
        <v/>
      </c>
      <c r="P302" t="str">
        <f t="shared" si="50"/>
        <v>[1]=1879381731;</v>
      </c>
      <c r="Q302" t="str">
        <f t="shared" si="51"/>
        <v/>
      </c>
      <c r="R302" t="str">
        <f t="shared" si="52"/>
        <v>[2]={["HARVESTMATH_FESTIVAL"]=24;};</v>
      </c>
      <c r="S302" t="str">
        <f t="shared" si="53"/>
        <v>["HARVESTMATH_FESTIVAL"]=24;</v>
      </c>
      <c r="T302" t="str">
        <f t="shared" si="54"/>
        <v/>
      </c>
    </row>
    <row r="303" spans="3:20" x14ac:dyDescent="0.25">
      <c r="C303" t="s">
        <v>277</v>
      </c>
      <c r="D303">
        <v>1879381670</v>
      </c>
      <c r="H303">
        <v>25</v>
      </c>
      <c r="L303" t="str">
        <f t="shared" si="46"/>
        <v>[302]={[2]={["GENERIC_MITHRIL"]=25;};[1]=1879381670;}; -- Guise of Skorgrím Dourhand</v>
      </c>
      <c r="M303" t="str">
        <f t="shared" si="47"/>
        <v>[302]={[1]="DIVIDER1"; [2]={["ENGLISH"] = ""; }; };</v>
      </c>
      <c r="N303" t="str">
        <f t="shared" si="48"/>
        <v>[302]={[1]="DIVIDER2"; [2]={["ENGLISH"] = ""; }; };</v>
      </c>
      <c r="O303" t="str">
        <f t="shared" si="49"/>
        <v/>
      </c>
      <c r="P303" t="str">
        <f t="shared" si="50"/>
        <v>[1]=1879381670;</v>
      </c>
      <c r="Q303" t="str">
        <f t="shared" si="51"/>
        <v/>
      </c>
      <c r="R303" t="str">
        <f t="shared" si="52"/>
        <v>[2]={["GENERIC_MITHRIL"]=25;};</v>
      </c>
      <c r="S303" t="str">
        <f t="shared" si="53"/>
        <v/>
      </c>
      <c r="T303" t="str">
        <f t="shared" si="54"/>
        <v>["GENERIC_MITHRIL"]=25;</v>
      </c>
    </row>
    <row r="304" spans="3:20" x14ac:dyDescent="0.25">
      <c r="C304" t="s">
        <v>278</v>
      </c>
      <c r="D304">
        <v>1879381671</v>
      </c>
      <c r="H304">
        <v>25</v>
      </c>
      <c r="L304" t="str">
        <f t="shared" si="46"/>
        <v>[303]={[2]={["GENERIC_MITHRIL"]=25;};[1]=1879381671;}; -- Guise of Sara Oakheart</v>
      </c>
      <c r="M304" t="str">
        <f t="shared" si="47"/>
        <v>[303]={[1]="DIVIDER1"; [2]={["ENGLISH"] = ""; }; };</v>
      </c>
      <c r="N304" t="str">
        <f t="shared" si="48"/>
        <v>[303]={[1]="DIVIDER2"; [2]={["ENGLISH"] = ""; }; };</v>
      </c>
      <c r="O304" t="str">
        <f t="shared" si="49"/>
        <v/>
      </c>
      <c r="P304" t="str">
        <f t="shared" si="50"/>
        <v>[1]=1879381671;</v>
      </c>
      <c r="Q304" t="str">
        <f t="shared" si="51"/>
        <v/>
      </c>
      <c r="R304" t="str">
        <f t="shared" si="52"/>
        <v>[2]={["GENERIC_MITHRIL"]=25;};</v>
      </c>
      <c r="S304" t="str">
        <f t="shared" si="53"/>
        <v/>
      </c>
      <c r="T304" t="str">
        <f t="shared" si="54"/>
        <v>["GENERIC_MITHRIL"]=25;</v>
      </c>
    </row>
    <row r="305" spans="3:20" x14ac:dyDescent="0.25">
      <c r="C305" t="s">
        <v>279</v>
      </c>
      <c r="D305">
        <v>1879381654</v>
      </c>
      <c r="H305">
        <v>50</v>
      </c>
      <c r="L305" t="str">
        <f t="shared" si="46"/>
        <v>[304]={[2]={["GENERIC_MITHRIL"]=50;};[1]=1879381654;}; -- Guise of Amarthiel</v>
      </c>
      <c r="M305" t="str">
        <f t="shared" si="47"/>
        <v>[304]={[1]="DIVIDER1"; [2]={["ENGLISH"] = ""; }; };</v>
      </c>
      <c r="N305" t="str">
        <f t="shared" si="48"/>
        <v>[304]={[1]="DIVIDER2"; [2]={["ENGLISH"] = ""; }; };</v>
      </c>
      <c r="O305" t="str">
        <f t="shared" si="49"/>
        <v/>
      </c>
      <c r="P305" t="str">
        <f t="shared" si="50"/>
        <v>[1]=1879381654;</v>
      </c>
      <c r="Q305" t="str">
        <f t="shared" si="51"/>
        <v/>
      </c>
      <c r="R305" t="str">
        <f t="shared" si="52"/>
        <v>[2]={["GENERIC_MITHRIL"]=50;};</v>
      </c>
      <c r="S305" t="str">
        <f t="shared" si="53"/>
        <v/>
      </c>
      <c r="T305" t="str">
        <f t="shared" si="54"/>
        <v>["GENERIC_MITHRIL"]=50;</v>
      </c>
    </row>
    <row r="306" spans="3:20" x14ac:dyDescent="0.25">
      <c r="C306" t="s">
        <v>280</v>
      </c>
      <c r="D306">
        <v>1879381672</v>
      </c>
      <c r="H306">
        <v>50</v>
      </c>
      <c r="L306" t="str">
        <f t="shared" si="46"/>
        <v>[305]={[2]={["GENERIC_MITHRIL"]=50;};[1]=1879381672;}; -- Guise of Mordirith</v>
      </c>
      <c r="M306" t="str">
        <f t="shared" si="47"/>
        <v>[305]={[1]="DIVIDER1"; [2]={["ENGLISH"] = ""; }; };</v>
      </c>
      <c r="N306" t="str">
        <f t="shared" si="48"/>
        <v>[305]={[1]="DIVIDER2"; [2]={["ENGLISH"] = ""; }; };</v>
      </c>
      <c r="O306" t="str">
        <f t="shared" si="49"/>
        <v/>
      </c>
      <c r="P306" t="str">
        <f t="shared" si="50"/>
        <v>[1]=1879381672;</v>
      </c>
      <c r="Q306" t="str">
        <f t="shared" si="51"/>
        <v/>
      </c>
      <c r="R306" t="str">
        <f t="shared" si="52"/>
        <v>[2]={["GENERIC_MITHRIL"]=50;};</v>
      </c>
      <c r="S306" t="str">
        <f t="shared" si="53"/>
        <v/>
      </c>
      <c r="T306" t="str">
        <f t="shared" si="54"/>
        <v>["GENERIC_MITHRIL"]=50;</v>
      </c>
    </row>
    <row r="307" spans="3:20" x14ac:dyDescent="0.25">
      <c r="C307" t="s">
        <v>281</v>
      </c>
      <c r="D307">
        <v>1879381673</v>
      </c>
      <c r="H307">
        <v>100</v>
      </c>
      <c r="L307" t="str">
        <f t="shared" si="46"/>
        <v>[306]={[2]={["GENERIC_MITHRIL"]=100;};[1]=1879381673;}; -- Guise of the Witch-king of Angmar</v>
      </c>
      <c r="M307" t="str">
        <f t="shared" si="47"/>
        <v>[306]={[1]="DIVIDER1"; [2]={["ENGLISH"] = ""; }; };</v>
      </c>
      <c r="N307" t="str">
        <f t="shared" si="48"/>
        <v>[306]={[1]="DIVIDER2"; [2]={["ENGLISH"] = ""; }; };</v>
      </c>
      <c r="O307" t="str">
        <f t="shared" si="49"/>
        <v/>
      </c>
      <c r="P307" t="str">
        <f t="shared" si="50"/>
        <v>[1]=1879381673;</v>
      </c>
      <c r="Q307" t="str">
        <f t="shared" si="51"/>
        <v/>
      </c>
      <c r="R307" t="str">
        <f t="shared" si="52"/>
        <v>[2]={["GENERIC_MITHRIL"]=100;};</v>
      </c>
      <c r="S307" t="str">
        <f t="shared" si="53"/>
        <v/>
      </c>
      <c r="T307" t="str">
        <f t="shared" si="54"/>
        <v>["GENERIC_MITHRIL"]=100;</v>
      </c>
    </row>
    <row r="308" spans="3:20" x14ac:dyDescent="0.25">
      <c r="L308" t="str">
        <f t="shared" si="46"/>
        <v xml:space="preserve">[307]={[2]={};[1]=;}; -- </v>
      </c>
      <c r="M308" t="str">
        <f t="shared" si="47"/>
        <v>[307]={[1]="DIVIDER1"; [2]={["ENGLISH"] = ""; }; };</v>
      </c>
      <c r="N308" t="str">
        <f t="shared" si="48"/>
        <v>[307]={[1]="DIVIDER2"; [2]={["ENGLISH"] = ""; }; };</v>
      </c>
      <c r="O308" t="str">
        <f t="shared" si="49"/>
        <v/>
      </c>
      <c r="P308" t="str">
        <f t="shared" si="50"/>
        <v>[1]=;</v>
      </c>
      <c r="Q308" t="str">
        <f t="shared" si="51"/>
        <v/>
      </c>
      <c r="R308" t="str">
        <f t="shared" si="52"/>
        <v>[2]={};</v>
      </c>
      <c r="S308" t="str">
        <f t="shared" si="53"/>
        <v/>
      </c>
      <c r="T308" t="str">
        <f t="shared" si="54"/>
        <v/>
      </c>
    </row>
  </sheetData>
  <conditionalFormatting sqref="C135:C206 C1:C133 C242:C1048576">
    <cfRule type="duplicateValues" dxfId="5" priority="5"/>
  </conditionalFormatting>
  <conditionalFormatting sqref="C134">
    <cfRule type="duplicateValues" dxfId="4" priority="1"/>
  </conditionalFormatting>
  <conditionalFormatting sqref="C207:C241">
    <cfRule type="duplicateValues" dxfId="3" priority="3"/>
  </conditionalFormatting>
  <conditionalFormatting sqref="D134">
    <cfRule type="duplicateValues" dxfId="2" priority="2"/>
  </conditionalFormatting>
  <conditionalFormatting sqref="D242:E272 D207:D241 D121:E133 D71:E119 D67:D70 E273:E280 D274:D280 D135:E206 E134 D1:E66 D281:E1048576">
    <cfRule type="duplicateValues" dxfId="1" priority="6"/>
  </conditionalFormatting>
  <conditionalFormatting sqref="D120:E120">
    <cfRule type="duplicateValues" dxfId="0" priority="4"/>
  </conditionalFormatting>
  <pageMargins left="0.7" right="0.7" top="0.75" bottom="0.75" header="0.3" footer="0.3"/>
  <pageSetup paperSize="12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van Ark</dc:creator>
  <cp:lastModifiedBy>William van Ark</cp:lastModifiedBy>
  <dcterms:created xsi:type="dcterms:W3CDTF">2024-03-13T18:13:09Z</dcterms:created>
  <dcterms:modified xsi:type="dcterms:W3CDTF">2026-10-13T19:11:43Z</dcterms:modified>
</cp:coreProperties>
</file>